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Cover" sheetId="1" r:id="rId1"/>
    <sheet name="AUTH" sheetId="2" r:id="rId2"/>
    <sheet name="USER" sheetId="3" r:id="rId3"/>
    <sheet name="ORD" sheetId="4" r:id="rId4"/>
    <sheet name="PRO" sheetId="5" r:id="rId5"/>
    <sheet name="STAT" sheetId="6" r:id="rId6"/>
    <sheet name="HOME" sheetId="7" r:id="rId7"/>
    <sheet name="API_PRO" sheetId="8" r:id="rId8"/>
    <sheet name="API_ORD" sheetId="9" r:id="rId9"/>
    <sheet name="TEST REPO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<sst xmlns="http://schemas.openxmlformats.org/spreadsheetml/2006/main" count="925" uniqueCount="647">
  <si>
    <t>TEST CASE</t>
  </si>
  <si>
    <t>Version:</t>
  </si>
  <si>
    <t>Issue date:</t>
  </si>
  <si>
    <t>Project Name:</t>
  </si>
  <si>
    <t>DiscountsManagement</t>
  </si>
  <si>
    <t>Project Code:</t>
  </si>
  <si>
    <t>DMS-01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</si>
  <si>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</si>
  <si>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</si>
  <si>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</si>
  <si>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</si>
  <si>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</si>
  <si>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</si>
  <si>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</si>
  <si>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</si>
  <si>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1.0</t>
  </si>
  <si>
    <t>AUTH, PRO</t>
  </si>
  <si>
    <t>Tạo test case cho chức năng Authentication và Promotion</t>
  </si>
  <si>
    <t>Dương Lê Kim Phụng</t>
  </si>
  <si>
    <t>Dương Hữu Thành</t>
  </si>
  <si>
    <t>AUTH - Authentication &amp; Registration, PRO - Promotion Create/Edit Validation</t>
  </si>
  <si>
    <t>1.1</t>
  </si>
  <si>
    <t>ORD, STA</t>
  </si>
  <si>
    <t>Bổ sung test case cho Order và Status Order</t>
  </si>
  <si>
    <t>ORD - Order Creation &amp; Discount Usage, STAT - Order Status, History &amp; Cancellation</t>
  </si>
  <si>
    <t>1.2</t>
  </si>
  <si>
    <t>HOME</t>
  </si>
  <si>
    <t>Cập nhật test case trang Home</t>
  </si>
  <si>
    <t>HOME - Home / Promotion List</t>
  </si>
  <si>
    <t>1.3</t>
  </si>
  <si>
    <t>API GET PRO</t>
  </si>
  <si>
    <t>Thêm test case API GET Promotion</t>
  </si>
  <si>
    <t xml:space="preserve">API PROMOTION - Promotion List / API </t>
  </si>
  <si>
    <t>1.4</t>
  </si>
  <si>
    <t>STATUS</t>
  </si>
  <si>
    <t>Cập nhật test case Status sau khi thêm chức năng khách hàng hủy đơn</t>
  </si>
  <si>
    <t>STAT - Order Status, History &amp; Cancellation</t>
  </si>
  <si>
    <t>1.5</t>
  </si>
  <si>
    <t>API POST PRO</t>
  </si>
  <si>
    <t>Thêm test case API POST Promotion</t>
  </si>
  <si>
    <t>API ORD</t>
  </si>
  <si>
    <t>Retest và bổ sung test case API Order sau khi fix lỗi chức năng tạo order</t>
  </si>
  <si>
    <t xml:space="preserve">API ORDER - Order List / API / </t>
  </si>
  <si>
    <t>https://docs.google.com/spreadsheets/d/1H0kBUBCjG8Yo2cHSmgkZvUed522hQ2V4T5Hsqj3oYzI/edit?gid=0#gid=0</t>
  </si>
  <si>
    <t>Module Code：</t>
  </si>
  <si>
    <t>AUTH - Authentication &amp; Registration</t>
  </si>
  <si>
    <t>Test requirement:</t>
  </si>
  <si>
    <t>Đăng ký/đăng nhập, validation số điện thoại, mật khẩu và xử lý phiên đăng nhập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</si>
  <si>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</si>
  <si>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</si>
  <si>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</si>
  <si>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</si>
  <si>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</si>
  <si>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</si>
  <si>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</si>
  <si>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</si>
  <si>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</si>
  <si>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</si>
  <si>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</si>
  <si>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</si>
  <si>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Retest Status</t>
  </si>
  <si>
    <t>Retest Evidence</t>
  </si>
  <si>
    <t>1. Kiểm tra đăng ký tài khoản hợp lệ</t>
  </si>
  <si>
    <t>TC-AUTH-001</t>
  </si>
  <si>
    <t>Đăng ký với dữ liệu hợp lệ</t>
  </si>
  <si>
    <t>Mở /register; nhập phone 10 số chưa tồn tại, full name hợp lệ, password đủ mạnh, confirm đúng; nhấn Đăng ký</t>
  </si>
  <si>
    <t>Tạo tài khoản thành công và có thể đăng nhập</t>
  </si>
  <si>
    <t>TCAuth1.png</t>
  </si>
  <si>
    <t>Đăng ký thành công</t>
  </si>
  <si>
    <t>2. Kiểm tra validation mật khẩu</t>
  </si>
  <si>
    <t>TC-AUTH-002</t>
  </si>
  <si>
    <t>Biên dưới mật khẩu 7 ký tự</t>
  </si>
  <si>
    <t>Mở /register; nhập mật khẩu 7 ký tự; nhấn Đăng ký</t>
  </si>
  <si>
    <t>Hệ thống phải từ chối vì mật khẩu &lt; 8 ký tự</t>
  </si>
  <si>
    <t>TCAuth2-1.png TCAuth2-2.png</t>
  </si>
  <si>
    <t>Mật khẩu ngắn vẫn được chấp nhận (Issue #7)</t>
  </si>
  <si>
    <t>TCAuthSauRetest.png</t>
  </si>
  <si>
    <t>TC-AUTH-003</t>
  </si>
  <si>
    <t>Biên đúng mật khẩu 8 ký tự</t>
  </si>
  <si>
    <t>Nhập mật khẩu đúng 8 ký tự gồm hoa, thường, số, ký tự đặc biệt</t>
  </si>
  <si>
    <t>Chấp nhận đăng ký</t>
  </si>
  <si>
    <t>TCAuth3.png</t>
  </si>
  <si>
    <t>Chấp nhận đúng độ dài tối thiểu</t>
  </si>
  <si>
    <t>TC-AUTH-004</t>
  </si>
  <si>
    <t>Mật khẩu chỉ gồm số</t>
  </si>
  <si>
    <t>Nhập mật khẩu 12345678 cho đăng ký</t>
  </si>
  <si>
    <t>Từ chối vì không đủ độ mạnh</t>
  </si>
  <si>
    <t>TCAuth4-1.png TCAuth4-2.png</t>
  </si>
  <si>
    <t>Hệ thống chưa kiểm tra độ mạnh mật khẩu (Issue #7)</t>
  </si>
  <si>
    <t>TC-AUTH-005</t>
  </si>
  <si>
    <t>Mật khẩu thiếu ký tự đặc biệt</t>
  </si>
  <si>
    <t>Nhập mật khẩu 123Abcde cho đăng ký</t>
  </si>
  <si>
    <t>Từ chối vì thiếu ký tự đặc biệt</t>
  </si>
  <si>
    <t>TCAuth5-1.png TCAuth5-2.png</t>
  </si>
  <si>
    <t>Chưa kiểm tra đủ ký tự đặc biệt trong mật khẩu (Issue #7)</t>
  </si>
  <si>
    <t>TC-AUTH-006</t>
  </si>
  <si>
    <t>Xác nhận mật khẩu không khớp</t>
  </si>
  <si>
    <t>Nhập password và confirm khác nhau</t>
  </si>
  <si>
    <t>Từ chối đăng ký và hiển thị thông báo</t>
  </si>
  <si>
    <t>TCAuth6.png</t>
  </si>
  <si>
    <t>Mật khẩu xác nhận không khớp</t>
  </si>
  <si>
    <t>3. Kiểm tra validation số điện thoại</t>
  </si>
  <si>
    <t>TC-AUTH-007</t>
  </si>
  <si>
    <t>Số điện thoại 9 số</t>
  </si>
  <si>
    <t>Nhập phone 9 số và các trường còn lại hợp lệ</t>
  </si>
  <si>
    <t>Từ chối vì sai độ dài số điện thoại</t>
  </si>
  <si>
    <t>TCAuth7.png</t>
  </si>
  <si>
    <t>Số điện thoại không hợp lệ</t>
  </si>
  <si>
    <t>TC-AUTH-008</t>
  </si>
  <si>
    <t>Số điện thoại 11 số</t>
  </si>
  <si>
    <t>Mở /register; nhập phone 00123456789, các trường còn lại hợp lệ; nhấn Đăng ký</t>
  </si>
  <si>
    <t>Hệ thống từ chối đăng ký và hiển thị thông báo số điện thoại không hợp lệ</t>
  </si>
  <si>
    <t>TCAuth8-1.png TCAuth8-2.png</t>
  </si>
  <si>
    <t>Định dạng số điện thoại không hợp lệ</t>
  </si>
  <si>
    <t>TC-AUTH-009</t>
  </si>
  <si>
    <t>Số điện thoại chứa chữ</t>
  </si>
  <si>
    <t>Nhập 09abc12345</t>
  </si>
  <si>
    <t>Từ chối vì không đúng định dạng</t>
  </si>
  <si>
    <t>TCAuth9.png</t>
  </si>
  <si>
    <t>Kiểm tra định dạng số điện thoại</t>
  </si>
  <si>
    <t>TC-AUTH-010</t>
  </si>
  <si>
    <t>Đăng ký với số điện thoại đã tồn tại</t>
  </si>
  <si>
    <t>Mở /register; nhập số điện thoại đã có tài khoản, nhập full name, password và confirm hợp lệ; nhấn Đăng ký</t>
  </si>
  <si>
    <t>Hệ thống từ chối đăng ký và hiển thị thông báo số điện thoại đã tồn tại</t>
  </si>
  <si>
    <t>TCAuth10.png</t>
  </si>
  <si>
    <t>Kiểm tra số điện thoại trùng</t>
  </si>
  <si>
    <t>4. Kiểm tra chức năng đăng nhập</t>
  </si>
  <si>
    <t>TC-AUTH-011</t>
  </si>
  <si>
    <t>Đăng nhập sai mật khẩu</t>
  </si>
  <si>
    <t>Mở /login; nhập account hợp lệ nhưng sai password</t>
  </si>
  <si>
    <t>Không đăng nhập, thông báo lỗi</t>
  </si>
  <si>
    <t>TCAuth11.png</t>
  </si>
  <si>
    <t>Sai tài khoản hoặc mật khẩu</t>
  </si>
  <si>
    <t>System Name：</t>
  </si>
  <si>
    <t>USER - User Management &amp; Authorization</t>
  </si>
  <si>
    <t>Quản lý người dùng màn Admin/User và phân quyền guest-customer-admin</t>
  </si>
  <si>
    <t>1. Kiểm tra quản lý user</t>
  </si>
  <si>
    <t>TC-USER-001</t>
  </si>
  <si>
    <t>Đổi quyền ADMIN xuống CUSTOMER không xác nhận</t>
  </si>
  <si>
    <t>Admin sửa user role từ ADMIN thành CUSTOMER; nhấn Save</t>
  </si>
  <si>
    <t>Hệ thống nên hiển thị cảnh báo hoặc yêu cầu xác nhận khi thay đổi role ADMIN (Issue #10)</t>
  </si>
  <si>
    <t xml:space="preserve">TCUser1-1.pngTCUser1-2.png </t>
  </si>
  <si>
    <t>Không có xác nhận và được cho phép</t>
  </si>
  <si>
    <t>TCUser1SauRestest.png</t>
  </si>
  <si>
    <t>TC-USER-002</t>
  </si>
  <si>
    <t>Tạo user hợp lệ</t>
  </si>
  <si>
    <t>Admin &gt; User &gt; Create; nhập dữ liệu hợp lệ; lưu</t>
  </si>
  <si>
    <t>Tạo user thành công</t>
  </si>
  <si>
    <t>TCUser2.png</t>
  </si>
  <si>
    <t>TC-USER-003</t>
  </si>
  <si>
    <t>Admin xem danh sách user</t>
  </si>
  <si>
    <t>Đăng nhập admin; mở Admin &gt; User &gt; List</t>
  </si>
  <si>
    <t>Danh sách user hiển thị đầy đủ</t>
  </si>
  <si>
    <t>TCUser3.png</t>
  </si>
  <si>
    <t>Hiển thị danh sách user</t>
  </si>
  <si>
    <t>TC-USER-004</t>
  </si>
  <si>
    <t>Sửa user với phone trùng</t>
  </si>
  <si>
    <t>Admin sửa user A sang số điện thoại đã tồn tại ở user B</t>
  </si>
  <si>
    <t>Từ chối lưu do phone trùng</t>
  </si>
  <si>
    <t>TCUser4.png</t>
  </si>
  <si>
    <t>Kiểm tra trùng số điện thoại</t>
  </si>
  <si>
    <t>TC-USER-005</t>
  </si>
  <si>
    <t>Bỏ trống full name khi tạo user</t>
  </si>
  <si>
    <t>Admin tạo user nhưng để trống họ tên</t>
  </si>
  <si>
    <t>Từ chối lưu và báo lỗi bắt buộc</t>
  </si>
  <si>
    <t>TCUser5.png</t>
  </si>
  <si>
    <t>Báo lỗi khi thiếu họ tên</t>
  </si>
  <si>
    <t>TC-USER-006</t>
  </si>
  <si>
    <t>Bật/tắt active user</t>
  </si>
  <si>
    <t>Sửa trạng thái active của một user</t>
  </si>
  <si>
    <t>Trạng thái được lưu đúng</t>
  </si>
  <si>
    <t>TCUser6.png</t>
  </si>
  <si>
    <t>Cập nhật trạng thái thành công</t>
  </si>
  <si>
    <t>TC-USER-007</t>
  </si>
  <si>
    <t>Tìm kiếm user theo tên hoặc số điện thoại</t>
  </si>
  <si>
    <t>Đăng nhập admin; mở trang quản lý user; nhập tên hoặc số điện thoại vào ô tìm kiếm; nhấn tìm kiếm</t>
  </si>
  <si>
    <t>Hiển thị đúng user khớp với từ khóa tìm kiếm</t>
  </si>
  <si>
    <t>TCUser7.png</t>
  </si>
  <si>
    <t>Hiển thị đúng user theo từ khóa</t>
  </si>
  <si>
    <t>2. Kiểm tra phân quyền truy cập</t>
  </si>
  <si>
    <t>TC-USER-008</t>
  </si>
  <si>
    <t>Customer truy cập trực tiếp URL quản lý user</t>
  </si>
  <si>
    <t>Đăng nhập customer; mở trực tiếp /admin/user</t>
  </si>
  <si>
    <t>Không thể truy cập</t>
  </si>
  <si>
    <t>TCUser8.png</t>
  </si>
  <si>
    <t>Không có quyền truy cập</t>
  </si>
  <si>
    <t>TC-USER-009</t>
  </si>
  <si>
    <t>Guest truy cập trực tiếp URL quản lý user</t>
  </si>
  <si>
    <t>Không đăng nhập; mở /admin/user</t>
  </si>
  <si>
    <t>Không thể mở</t>
  </si>
  <si>
    <t>TCUser9.png</t>
  </si>
  <si>
    <t>Chặn truy cập khi chưa đăng nhập</t>
  </si>
  <si>
    <t>ORD - Order Creation &amp; Discount Usage</t>
  </si>
  <si>
    <t>Tạo đơn hàng, áp dụng mã giảm giá và cập nhật số lượt sử dụng</t>
  </si>
  <si>
    <t>1. Kiểm tra tạo order hợp lệ</t>
  </si>
  <si>
    <t>TC-ORD-001</t>
  </si>
  <si>
    <t>Tạo đơn không dùng mã</t>
  </si>
  <si>
    <t>Đăng nhập customer; mở /order/create; nhập amount hợp lệ; tạo đơn</t>
  </si>
  <si>
    <t>Tạo đơn thành công, tổng tiền giữ nguyên</t>
  </si>
  <si>
    <t>TCOrd1.png</t>
  </si>
  <si>
    <t>Order được tạo thành công, trạng thái mặc định là "Chờ xử lý".</t>
  </si>
  <si>
    <t>TC-ORD-002</t>
  </si>
  <si>
    <t>Áp dụng COUPON hợp lệ</t>
  </si>
  <si>
    <t>Đăng nhập customer; tạo order đủ min_order; nhập mã COUPON hợp lệ; tạo đơn</t>
  </si>
  <si>
    <t>Tính discount đúng theo value nhưng không vượt max_discount</t>
  </si>
  <si>
    <t>TCOrd2.png</t>
  </si>
  <si>
    <t>Coupon được áp dụng đúng, tổng tiền giảm theo giá trị coupon.</t>
  </si>
  <si>
    <t>TC-ORD-003</t>
  </si>
  <si>
    <t>Áp dụng VOUCHER hợp lệ</t>
  </si>
  <si>
    <t>Đăng nhập customer; tạo order đủ min_order; nhập mã VOUCHER hợp lệ; tạo đơn</t>
  </si>
  <si>
    <t>Giảm đúng số tiền voucher</t>
  </si>
  <si>
    <t>TCOrd3.png</t>
  </si>
  <si>
    <t>Voucher hoạt động đúng với điều kiện tối thiểu đơn hàng.</t>
  </si>
  <si>
    <t>2. Kiểm tra boundary và business rule của promotion</t>
  </si>
  <si>
    <t>TC-ORD-004</t>
  </si>
  <si>
    <t>Amount đúng bằng min_order</t>
  </si>
  <si>
    <t>Nhập amount=min_order</t>
  </si>
  <si>
    <t>Mã được áp dụng</t>
  </si>
  <si>
    <t>TCOrd4-1.png TCOrd4-2.png</t>
  </si>
  <si>
    <t>Hệ thống hiển thị đúng mã giảm giá theo từ khóa tìm kiếm.</t>
  </si>
  <si>
    <t>TC-ORD-005</t>
  </si>
  <si>
    <t>Một đơn thành công chỉ trừ 1 lượt</t>
  </si>
  <si>
    <t>Tạo đơn với mã SUPER40 còn 8 lượt; tạo đơn thành công; kiểm tra availability</t>
  </si>
  <si>
    <t>Chỉ giảm đúng 1 lượt</t>
  </si>
  <si>
    <t>TCOrd5-1.png TCOrd5-2.png</t>
  </si>
  <si>
    <t>Availability của mã giảm giá giảm sai sau khi tạo đơn hàng (Issue #16)</t>
  </si>
  <si>
    <t>TCOrd5-1SauRetest.png TCOrd5-2SauRetest.png</t>
  </si>
  <si>
    <t>TC-ORD-006</t>
  </si>
  <si>
    <t>Dùng mã hết lượt</t>
  </si>
  <si>
    <t>Chọn promotion có availability=0</t>
  </si>
  <si>
    <t>Không cho áp dụng/tạo đơn với mã này hoặc không hiện mã hết hạn trong khung lựa chọn</t>
  </si>
  <si>
    <t>TCOrd6.png</t>
  </si>
  <si>
    <t>Hệ thống không hiện promotion đã hết lượt sử dụng.</t>
  </si>
  <si>
    <t>PRO - Promotion Create/Edit Validation</t>
  </si>
  <si>
    <t>Tạo/sửa promotion coupon-voucher, kiểm tra biên và ràng buộc nghiệp vụ</t>
  </si>
  <si>
    <t>1. Kiểm tra tạo promotion hợp lệ</t>
  </si>
  <si>
    <t>TC-PRO-001</t>
  </si>
  <si>
    <t>Tạo COUPON hợp lệ</t>
  </si>
  <si>
    <t>Admin &gt; Promotion &gt; Create; type=COUPON, value=0.2, max_discount=20000, min_order=50000, availability=5, start&lt;expire</t>
  </si>
  <si>
    <t>Tạo promotion thành công</t>
  </si>
  <si>
    <t>TCPro1.png</t>
  </si>
  <si>
    <t>TC-PRO-002</t>
  </si>
  <si>
    <t>Tạo VOUCHER hợp lệ</t>
  </si>
  <si>
    <t>Type=VOUCHER, value=10000, max_discount=10000, min_order=50000, availability=5</t>
  </si>
  <si>
    <t>Tạo thành công</t>
  </si>
  <si>
    <t>TCPro2.png</t>
  </si>
  <si>
    <t>Lưu promotion hợp lệ</t>
  </si>
  <si>
    <t>2. Kiểm tra boundary value của COUPON</t>
  </si>
  <si>
    <t>TC-PRO-003</t>
  </si>
  <si>
    <t>Biên COUPON value = 0</t>
  </si>
  <si>
    <t>Tạo COUPON với value=0</t>
  </si>
  <si>
    <t>Hệ thống hiển thị lỗi và không cho lưu coupon với value &lt;= 0</t>
  </si>
  <si>
    <t>TCPro3.png</t>
  </si>
  <si>
    <t>Hệ thống vẫn cho tạo coupon với value = 0. (Issue #6)</t>
  </si>
  <si>
    <t>TCPro3SauRetest.png</t>
  </si>
  <si>
    <t>TC-PRO-004</t>
  </si>
  <si>
    <t>Biên COUPON value = 0.5</t>
  </si>
  <si>
    <t>Tạo COUPON với value=0.5</t>
  </si>
  <si>
    <t>Được chấp nhận nếu các trường khác hợp lệ</t>
  </si>
  <si>
    <t>TCPro4.png</t>
  </si>
  <si>
    <t>Chấp nhận dữ liệu hợp lệ</t>
  </si>
  <si>
    <t>TC-PRO-005</t>
  </si>
  <si>
    <t>Biên COUPON value = 0.6</t>
  </si>
  <si>
    <t>Tạo COUPON với value=0.6</t>
  </si>
  <si>
    <t>Hệ thống không cho tạo coupon có value lớn hơn 50%</t>
  </si>
  <si>
    <t>TCPro5.png</t>
  </si>
  <si>
    <t>Coupon vượt quá mức giảm 50% nhưng vẫn được lưu. (Issue #6)</t>
  </si>
  <si>
    <t>TCPro5SauRetest.png</t>
  </si>
  <si>
    <t>3. Kiểm tra validation dữ liệu promotion</t>
  </si>
  <si>
    <t>TC-PRO-006</t>
  </si>
  <si>
    <t>Tạo VOUCHER với value=0.6</t>
  </si>
  <si>
    <t>Phải từ chối vì voucher cần số tiền cố định hợp lệ</t>
  </si>
  <si>
    <t>TCPro6.png</t>
  </si>
  <si>
    <t>Voucher nhập sai kiểu giá trị nhưng hệ thống chưa validate. (Issue #13)</t>
  </si>
  <si>
    <t>TCPro6SauRetest.png</t>
  </si>
  <si>
    <t>TC-PRO-007</t>
  </si>
  <si>
    <t>Kiểm tra tính nhất quán giữa discount value và max discount của COUPON</t>
  </si>
  <si>
    <t>Tạo COUPON, value=0.5, max_discount=0.2, min_order=1000000</t>
  </si>
  <si>
    <t>Phải từ chối vì dữ liệu mâu thuẫn</t>
  </si>
  <si>
    <t>TCPro7.png</t>
  </si>
  <si>
    <t>Hệ thống chưa kiểm tra tính hợp lệ giữa value và max discount. (Issue #14)</t>
  </si>
  <si>
    <t>TCPro7SauRetest.png</t>
  </si>
  <si>
    <t>TC-PRO-008</t>
  </si>
  <si>
    <t>Ngày hết hạn nhỏ hơn ngày bắt đầu</t>
  </si>
  <si>
    <t>start_date &gt; expire_date</t>
  </si>
  <si>
    <t>Hệ thống hiển thị lỗi khi ngày hết hạn nhỏ hơn ngày bắt đầu.</t>
  </si>
  <si>
    <t>TCPro8.png</t>
  </si>
  <si>
    <t>Ngày hết hạn nhỏ hơn ngày bắt đầu nhưng hệ thống vẫn cho tạo promotion. (Issue #6)</t>
  </si>
  <si>
    <t>TCPro8-1SauRestest.png TCPro8-2SauRetest.png</t>
  </si>
  <si>
    <t>TC-PRO-009</t>
  </si>
  <si>
    <t>Availability âm</t>
  </si>
  <si>
    <t>availability=-10</t>
  </si>
  <si>
    <t>Hệ thống không cho nhập availability nhỏ hơn 0.</t>
  </si>
  <si>
    <t>TCPro9.png</t>
  </si>
  <si>
    <t>Availability âm nhưng vẫn được chấp nhận. (Issue #6)</t>
  </si>
  <si>
    <t>TCPro9-1SauRetest.png TCPro9-2SauRetest.png</t>
  </si>
  <si>
    <t>TC-PRO-010</t>
  </si>
  <si>
    <t>Min order âm</t>
  </si>
  <si>
    <t>min_order=-10000</t>
  </si>
  <si>
    <t>Hệ thống hiển thị lỗi khi min order nhỏ hơn 0.</t>
  </si>
  <si>
    <t>TCPro10.png</t>
  </si>
  <si>
    <t>Min order âm nhưng hệ thống chưa chặn dữ liệu. (Issue #6)</t>
  </si>
  <si>
    <t>TCPro10-1SauRetest.png TCPro10-2SauRetest.png</t>
  </si>
  <si>
    <t>TC-PRO-011</t>
  </si>
  <si>
    <t>Biên availability = 0</t>
  </si>
  <si>
    <t>Tạo promotion với availability=0</t>
  </si>
  <si>
    <t>Hệ thống không xử lý được availability = 0</t>
  </si>
  <si>
    <t>TCPro11.png</t>
  </si>
  <si>
    <t>Hệ thống xử lý không ổn khi availability = 0 (Issue #6)</t>
  </si>
  <si>
    <t>TCPro11-1SauRetest.png TCPro11-2SauRetest.png</t>
  </si>
  <si>
    <t>TC-PRO-012</t>
  </si>
  <si>
    <t>Mã promotion trùng</t>
  </si>
  <si>
    <t>Tạo promotion với code đã tồn tại</t>
  </si>
  <si>
    <t>Từ chối do code trùng</t>
  </si>
  <si>
    <t>TCPro12.png</t>
  </si>
  <si>
    <t>Hệ thống đã chặn đúng trường hợp mã promotion bị trùng</t>
  </si>
  <si>
    <t>Lịch sử đơn hàng, cập nhật trạng thái và hoàn lượt sử dụng promotion</t>
  </si>
  <si>
    <t>1. Kiểm tra lịch sử đơn hàng</t>
  </si>
  <si>
    <t>TC-STAT-001</t>
  </si>
  <si>
    <t>Customer xem lịch sử đơn của chính mình</t>
  </si>
  <si>
    <t>Đăng nhập customer; mở /orders/history</t>
  </si>
  <si>
    <t>Chỉ hiển thị đơn của user hiện tại</t>
  </si>
  <si>
    <t>TCStat1.png</t>
  </si>
  <si>
    <t>Kiểm tra phân quyền lịch sử đơn hàng theo customer</t>
  </si>
  <si>
    <t>TC-STAT-002</t>
  </si>
  <si>
    <t>Lịch sử sắp xếp mới nhất</t>
  </si>
  <si>
    <t>Đăng nhập customer; truy cập /orders_history; chọn sắp xếp Mới nhất</t>
  </si>
  <si>
    <t>Danh sách hiển thị đơn mới nhất lên đầu</t>
  </si>
  <si>
    <t>TCStat2.png</t>
  </si>
  <si>
    <t>Danh sách lịch sử hiển thị đúng thứ tự mới nhất</t>
  </si>
  <si>
    <t>2. Kiểm tra hủy đơn và hoàn lượt promotion</t>
  </si>
  <si>
    <t>TC-STAT-003</t>
  </si>
  <si>
    <t>Customer hủy đơn ở trạng thái PENDING</t>
  </si>
  <si>
    <t>Đăng nhập customer; vào /orders_history; chọn đơn trạng thái PENDING; nhấn Hủy</t>
  </si>
  <si>
    <t>Nếu có chức năng hủy, chỉ cho phép với đơn PENDING và của chính khách hàng</t>
  </si>
  <si>
    <t>TCStat3.png</t>
  </si>
  <si>
    <t>Issue #15 là đề xuất cải tiến, Customer chỉ được hủy đơn của chính mình ở trạng thái PENDING</t>
  </si>
  <si>
    <t>TC-STAT-004</t>
  </si>
  <si>
    <t>Hủy đơn phải hoàn lại lượt sử dụng mã</t>
  </si>
  <si>
    <t>Đăng nhập customer; tạo đơn có áp dụng promotion tại /; vào /orders_history; hủy đơn vừa tạo</t>
  </si>
  <si>
    <t>Hệ thống hoàn lại đúng 1 lượt sử dụng promotion sau khi hủy đơn</t>
  </si>
  <si>
    <t>TCStat4-1.pngTCStat4-2.png TCStat4-3.png</t>
  </si>
  <si>
    <t>Số lượt được hoàn lại sau khi hủy đơn</t>
  </si>
  <si>
    <t>3. Kiểm tra cập nhật trạng thái order</t>
  </si>
  <si>
    <t>TC-STAT-005</t>
  </si>
  <si>
    <t>Cập nhật đơn PENDING sang COMPLETED không làm thay đổi lượt mã</t>
  </si>
  <si>
    <t>Đăng nhập admin; truy cập /admin/order/; cập nhật đơn từ PENDING sang trạng thái COMPLETED</t>
  </si>
  <si>
    <t>Hệ thống cập nhật trạng thái thành COMPLETED và không hoàn lại lượt sử dụng promotion.</t>
  </si>
  <si>
    <t>TCStat5-1.png TCStat5-2.png TCStat5-3.png</t>
  </si>
  <si>
    <t>Không hoàn lượt promotion sau khi đơn được hoàn thành.</t>
  </si>
  <si>
    <t>TC-STAT-006</t>
  </si>
  <si>
    <t>Không cho cập nhật trạng thái COMPLETED về PENDING</t>
  </si>
  <si>
    <t>Đăng nhập admin; truy cập /admin/order/; chọn đơn COMPLETED; thử cập nhật về PENDING</t>
  </si>
  <si>
    <t>Hệ thống từ chối cập nhật vì đơn đã hoàn tất không được quay lại PENDING</t>
  </si>
  <si>
    <t>TCStat6.png</t>
  </si>
  <si>
    <t>Hệ thống chặn cập nhật từ COMPLETED về PENDING</t>
  </si>
  <si>
    <t>4. Kiểm tra phân quyền truy cập</t>
  </si>
  <si>
    <t>TC-STAT-007</t>
  </si>
  <si>
    <t>Đăng nhập customer; nhập trực tiếp URL /admin/order/ trên thanh địa chỉ</t>
  </si>
  <si>
    <t>Đăng nhập customer; truy cập trực tiếp /admin/order/</t>
  </si>
  <si>
    <t>Hệ thống redirect về trang đăng nhập hoặc từ chối truy cập admin route</t>
  </si>
  <si>
    <t>TCStat7.png</t>
  </si>
  <si>
    <t>Customer bị từ chối khi truy cập admin route</t>
  </si>
  <si>
    <t>Hiển thị danh sách promotion, tìm kiếm, sắp xếp và điều hướng tạo đơn hàng</t>
  </si>
  <si>
    <t>1. Kiểm tra hiển thị promotion</t>
  </si>
  <si>
    <t>TC-HOME-001</t>
  </si>
  <si>
    <t>Hiển thị danh sách promotion</t>
  </si>
  <si>
    <t>Đăng nhập customer; mở trang chủ /</t>
  </si>
  <si>
    <t>Hiển thị danh sách promotion còn hiệu lực</t>
  </si>
  <si>
    <t>TCHome1.png</t>
  </si>
  <si>
    <t>TC-HOME-002</t>
  </si>
  <si>
    <t>Hiển thị thông tin promotion</t>
  </si>
  <si>
    <t>Quan sát từng promotion</t>
  </si>
  <si>
    <t>Hiển thị code, loại mã, số lượng còn lại, HSD, đơn tối thiểu, giảm tối đa</t>
  </si>
  <si>
    <t>TCHome2.png</t>
  </si>
  <si>
    <t>Kiểm tra thông tin promotion</t>
  </si>
  <si>
    <t>2. Kiểm tra tìm kiếm và sắp xếp</t>
  </si>
  <si>
    <t>TC-HOME-003</t>
  </si>
  <si>
    <t>Tìm kiếm promotion theo code hợp lệ</t>
  </si>
  <si>
    <t>Nhập SUPER40; nhấn Tìm kiếm</t>
  </si>
  <si>
    <t>Chỉ hiển thị promotion có code SUPER40</t>
  </si>
  <si>
    <t>TCHome3.png</t>
  </si>
  <si>
    <t>Tìm kiếm theo mã promotion</t>
  </si>
  <si>
    <t>TC-HOME-004</t>
  </si>
  <si>
    <t>Tìm kiếm promotion không tồn tại</t>
  </si>
  <si>
    <t>Nhập mã không tồn tại như ABCXYZ; nhấn Tìm kiếm</t>
  </si>
  <si>
    <t>Không hiển thị promotion không khớp</t>
  </si>
  <si>
    <t>Kiểm tra mã không tồn tại</t>
  </si>
  <si>
    <t>TC-HOME-005</t>
  </si>
  <si>
    <t>Tìm kiếm với ô trống</t>
  </si>
  <si>
    <t>Để trống ô tìm kiếm; nhấn Tìm kiếm</t>
  </si>
  <si>
    <t>Hiển thị lại danh sách promotion mặc định</t>
  </si>
  <si>
    <t>TCHome5.png</t>
  </si>
  <si>
    <t>Tìm kiếm rỗng</t>
  </si>
  <si>
    <t>TC-HOME-006</t>
  </si>
  <si>
    <t>Sắp xếp theo mới nhất</t>
  </si>
  <si>
    <t>Chọn mã “Mới nhất”</t>
  </si>
  <si>
    <t>Danh sách được sắp xếp theo promotion mới nhất</t>
  </si>
  <si>
    <t>TCHome6.png</t>
  </si>
  <si>
    <t>Sắp xếp mới nhất</t>
  </si>
  <si>
    <t>TC-HOME-007</t>
  </si>
  <si>
    <t>Sắp xếp theo sắp hết hạn</t>
  </si>
  <si>
    <t>Chọn mã “Sắp hết hạn”</t>
  </si>
  <si>
    <t>Promotion gần hết hạn được ưu tiên hiển thị trước</t>
  </si>
  <si>
    <t>TCHome7.png</t>
  </si>
  <si>
    <t>Sắp xếp theo hạn sử dụng</t>
  </si>
  <si>
    <t>3. Kiểm tra điều hướng</t>
  </si>
  <si>
    <t>TC-HOME-008</t>
  </si>
  <si>
    <t>Điều hướng sang tạo đơn hàng</t>
  </si>
  <si>
    <t>Nhấn menu “Tạo đơn hàng”</t>
  </si>
  <si>
    <t>Chuyển sang trang tạo đơn hàng</t>
  </si>
  <si>
    <t>TCHome8.png</t>
  </si>
  <si>
    <t>Điều hướng tạo đơn</t>
  </si>
  <si>
    <t>TC-HOME-009</t>
  </si>
  <si>
    <t>Đăng xuất từ trang chủ</t>
  </si>
  <si>
    <t>Nhấn “Đăng xuất”</t>
  </si>
  <si>
    <t>Đăng xuất thành công và quay về trang đăng nhập/trang public</t>
  </si>
  <si>
    <t>TCHome9.png</t>
  </si>
  <si>
    <t>Kiểm tra đăng xuất</t>
  </si>
  <si>
    <t>Danh sách promotion, filter, phân trang và endpoint GET và POST /api/promotions</t>
  </si>
  <si>
    <t>1. Kiểm tra GET danh sách promotion</t>
  </si>
  <si>
    <t>TC-API-001</t>
  </si>
  <si>
    <t>GET danh sách promotion mặc định</t>
  </si>
  <si>
    <t>GET /api/promotions</t>
  </si>
  <si>
    <t>Trả về danh sách mặc định, status 200</t>
  </si>
  <si>
    <t>TCAPIPro1.png</t>
  </si>
  <si>
    <t>GET promotion list thành công</t>
  </si>
  <si>
    <t>TC-API-002</t>
  </si>
  <si>
    <t>GET promotion theo code</t>
  </si>
  <si>
    <t>GET /api/promotions?code=55</t>
  </si>
  <si>
    <t>Chỉ trả về promotion có code 55</t>
  </si>
  <si>
    <t>TCAPIPro2.png</t>
  </si>
  <si>
    <t>GET promotion theo code thành công</t>
  </si>
  <si>
    <t>TC-API-003</t>
  </si>
  <si>
    <t>GET promotion với amount hợp lệ</t>
  </si>
  <si>
    <t>GET /api/promotions?amount=50000</t>
  </si>
  <si>
    <t>Chỉ trả về các promotion thỏa điều kiện amount</t>
  </si>
  <si>
    <t>TCAPIPro3.png</t>
  </si>
  <si>
    <t>GET promotion với amount trả sai dữ liệu(#Issue 28)</t>
  </si>
  <si>
    <t>TCAPIPro3SauRetest.png</t>
  </si>
  <si>
    <t>TC-API-004</t>
  </si>
  <si>
    <t>GET promotion theo amount âm</t>
  </si>
  <si>
    <t>GET /api/promotions?amount=-1</t>
  </si>
  <si>
    <t>Trả 400 Bad Request với lỗi “Giá trị đơn hàng không hợp lệ!”</t>
  </si>
  <si>
    <t>TCAPIPro4.png</t>
  </si>
  <si>
    <t>GET promotion với amount âm vẫn xử lý(#Issue 28)</t>
  </si>
  <si>
    <t>TCAPIPro4SauRetest.png</t>
  </si>
  <si>
    <t>TC-API-005</t>
  </si>
  <si>
    <t>GET promotion theo amount không hợp lệ</t>
  </si>
  <si>
    <t>GET /api/promotions?amount=abc</t>
  </si>
  <si>
    <t>TCAPIPro5.png</t>
  </si>
  <si>
    <t>GET promotion với amount không hợp lệ vẫn xử lý (#Issue 28). Có thể kiểm tra thêm các giá trị tương đương: amount=ABC, amount=10abc, amount=@@</t>
  </si>
  <si>
    <t>TCAPIPro5SauRetest.png</t>
  </si>
  <si>
    <t>TC-API-006</t>
  </si>
  <si>
    <t>GET promotion theo ptype không hợp lệ</t>
  </si>
  <si>
    <t>GET /api/promotions?ptype=ABC</t>
  </si>
  <si>
    <t>Trả về danh sách rỗng khi ptype không hợp lệ</t>
  </si>
  <si>
    <t>TCAPIPro6.png</t>
  </si>
  <si>
    <t>GET promotion với type không hợp lệ trả rỗng đúng</t>
  </si>
  <si>
    <t>TC-API-007</t>
  </si>
  <si>
    <t>GET promotion theo ptype hợp lệ</t>
  </si>
  <si>
    <t>GET /api/promotions?ptype=VOUCHER</t>
  </si>
  <si>
    <t>API chỉ trả về các promotion có promotion_type = VOUCHER</t>
  </si>
  <si>
    <t>TCAPIPro7.png</t>
  </si>
  <si>
    <t>GET promotion theo type thành công</t>
  </si>
  <si>
    <t>TC-API-008</t>
  </si>
  <si>
    <t>GET promotion phân trang với page = 0</t>
  </si>
  <si>
    <t>GET /api/promotions?page=0</t>
  </si>
  <si>
    <t>Trả 400 Bad Request với lỗi “Số trang không hợp lệ!”</t>
  </si>
  <si>
    <t>TCAPIPro8.png</t>
  </si>
  <si>
    <t>GET promotion với page = 0 vẫn trả dữ liệu(#Issue 29)</t>
  </si>
  <si>
    <t>TCAPIPro8SauRetest.png</t>
  </si>
  <si>
    <t>TC-API-009</t>
  </si>
  <si>
    <t>GET promotion phân trang với page âm</t>
  </si>
  <si>
    <t>GET /api/promotions?page=-1</t>
  </si>
  <si>
    <t>TCAPIPro9.png</t>
  </si>
  <si>
    <t>GET promotion với page âm chưa được validate (#Issue 29)</t>
  </si>
  <si>
    <t>TCAPIPro9SauRetest.png</t>
  </si>
  <si>
    <t>TC-API-010</t>
  </si>
  <si>
    <t>GET promotion phân trang với page không hợp lệ</t>
  </si>
  <si>
    <t>GET /api/promotions?page=abc</t>
  </si>
  <si>
    <t>TCAPIPro10.png</t>
  </si>
  <si>
    <t>GET promotion với page không hợp lệ chưa được validate (#Issue 29). Có thể kiểm tra thêm các giá trị tương đương: page=ABC, page=10abc, page=@@</t>
  </si>
  <si>
    <t>TCAPIPro10SauRetest.png</t>
  </si>
  <si>
    <t>2. Kiểm tra POST tạo promotion</t>
  </si>
  <si>
    <t>TC-API-011</t>
  </si>
  <si>
    <t>POST tạo VOUCHER hợp lệ</t>
  </si>
  <si>
    <t>Admin gửi POST /api/promotions với dữ liệu voucher hợp lệ bằng Postman</t>
  </si>
  <si>
    <t>Tạo promotion thành công và trả status 201</t>
  </si>
  <si>
    <t>TCAPIPro11.png</t>
  </si>
  <si>
    <t>POST voucher thành công</t>
  </si>
  <si>
    <t>TC-API-012</t>
  </si>
  <si>
    <t>POST tạo COUPON hợp lệ</t>
  </si>
  <si>
    <t>Admin gửi POST /api/promotions với dữ liệu coupon hợp lệ bằng Postman</t>
  </si>
  <si>
    <t>TCAPIPro12.png</t>
  </si>
  <si>
    <t>POST coupon thành công</t>
  </si>
  <si>
    <t>TC-API-013</t>
  </si>
  <si>
    <t>POST thiếu mã promotion</t>
  </si>
  <si>
    <t>Admin gửi POST /api/promotions nhưng để trống trường code</t>
  </si>
  <si>
    <t>Hệ thống từ chối tạo promotion và trả lỗi validation</t>
  </si>
  <si>
    <t>TCAPIPro13.png</t>
  </si>
  <si>
    <t>Thiếu promotion code trả lỗi đúng</t>
  </si>
  <si>
    <t>TC-API-014</t>
  </si>
  <si>
    <t>POST value không hợp lệ</t>
  </si>
  <si>
    <t>TCAPIPro14.png</t>
  </si>
  <si>
    <t>Value coupon vượt mức cho phép nên bị chặn</t>
  </si>
  <si>
    <t>TC-API-015</t>
  </si>
  <si>
    <t>POST ngày hết hạn nhỏ hơn ngày bắt đầu</t>
  </si>
  <si>
    <t>Admin gửi POST /api/promotions với expire_date nhỏ hơn start_date</t>
  </si>
  <si>
    <t>Hệ thống từ chối tạo promotion và trả lỗi thời gian không hợp lệ</t>
  </si>
  <si>
    <t>TCAPIPro15.png</t>
  </si>
  <si>
    <t>Expire date nhỏ hơn start date không tạo được</t>
  </si>
  <si>
    <t>TC-API-016</t>
  </si>
  <si>
    <t>POST availability âm</t>
  </si>
  <si>
    <t>Admin gửi POST /api/promotions với availability_count=-1</t>
  </si>
  <si>
    <t>Hệ thống từ chối tạo promotion và trả lỗi số lượt không hợp lệ</t>
  </si>
  <si>
    <t>TCAPIPro16.png</t>
  </si>
  <si>
    <t>Availability âm bị chặn đúng</t>
  </si>
  <si>
    <t>TC-API-017</t>
  </si>
  <si>
    <t>POST không có quyền admin</t>
  </si>
  <si>
    <t>Customer gửi POST /api/promotions với dữ liệu promotion hợp lệ</t>
  </si>
  <si>
    <t>Hệ thống từ chối tạo promotion do không có quyền admin</t>
  </si>
  <si>
    <t>TCAPIPro17.png</t>
  </si>
  <si>
    <t>Lỗi phân quyền API</t>
  </si>
  <si>
    <t>TCAPIPro17SauRetest.png</t>
  </si>
  <si>
    <t>Danh sách order, filter, phân trang và endpoint POST và PATCH /api/order</t>
  </si>
  <si>
    <t>TC-ORDER-001</t>
  </si>
  <si>
    <t>Tạo đơn hàng với promotion hợp lệ SUPER15</t>
  </si>
  <si>
    <t>POST /api/orders, body: sub_total_amount=100000, promotion_code=SUPER15</t>
  </si>
  <si>
    <t>Trả 201 Created; discount_amount=15000; final_amount=85000</t>
  </si>
  <si>
    <t>TCAPIOrd1.png</t>
  </si>
  <si>
    <t>Coupon hợp lệ hoạt động đúng</t>
  </si>
  <si>
    <t>TC-ORDER-002</t>
  </si>
  <si>
    <t>Kiểm tra giới hạn giảm tối đa của SUPER15</t>
  </si>
  <si>
    <t>POST /api/orders, body: sub_total_amount=1000000, promotion_code=SUPER15</t>
  </si>
  <si>
    <t>Trả 201 Created; discount_amount=20000; final_amount=980000</t>
  </si>
  <si>
    <t>TCAPIOrd2.png</t>
  </si>
  <si>
    <t>Max discount hoạt động đúng</t>
  </si>
  <si>
    <t>TC-ORDER-003</t>
  </si>
  <si>
    <t>Tạo order với mã 66</t>
  </si>
  <si>
    <t>POST /api/orders, body: promotion_code = 66, sub_total_amount = 10000</t>
  </si>
  <si>
    <t>Giảm giá 4000; final_amount = 6000</t>
  </si>
  <si>
    <t>TCAPIOrd3.png</t>
  </si>
  <si>
    <t>Tính discount đúng</t>
  </si>
  <si>
    <t>2. Kiểm tra validation khi tạo order</t>
  </si>
  <si>
    <t>TC-ORDER-004</t>
  </si>
  <si>
    <t>Tạo order thiếu sub_total_amount khi có promotion</t>
  </si>
  <si>
    <t>POST /api/orders, body chỉ có promotion_code=SUPER15</t>
  </si>
  <si>
    <t>Trả 400 Bad Request; message: “Giá trị đơn hàng không hợp lệ!”</t>
  </si>
  <si>
    <t>TCAPIOrd4.png</t>
  </si>
  <si>
    <t>API trả 500 khi thiếu sub_total_amount (#Issue 35)</t>
  </si>
  <si>
    <t>TCAPIOrd4SauRetest.png</t>
  </si>
  <si>
    <t>TC-ORDER-005</t>
  </si>
  <si>
    <t>Tạo order dưới giá trị tối thiểu của promotion</t>
  </si>
  <si>
    <t>POST /api/orders, body: sub_total_amount=1999, promotion_code=SUPER15</t>
  </si>
  <si>
    <t>Hệ thống từ chối áp dụng promotion; trả 400 Bad Request</t>
  </si>
  <si>
    <t>TCAPIOrd5.png</t>
  </si>
  <si>
    <t>Validation min_order_value hoạt động đúng</t>
  </si>
  <si>
    <t>TC-ORDER-006</t>
  </si>
  <si>
    <t>Tạo order với sub_total_amount = 0</t>
  </si>
  <si>
    <t>POST /api/orders, body: sub_total_amount=0</t>
  </si>
  <si>
    <t>Trả 400 Bad Request; message validate giá trị đơn hàng không hợp lệ</t>
  </si>
  <si>
    <t>TCAPIOrd6.png</t>
  </si>
  <si>
    <t>Không cho tạo order giá trị 0</t>
  </si>
  <si>
    <t>TC-ORDER-007</t>
  </si>
  <si>
    <t>Tạo order với sub_total_amount âm</t>
  </si>
  <si>
    <t>POST /api/orders, body: promotion_code = SUPER15, sub_total_amount = -100000</t>
  </si>
  <si>
    <t>TCAPIOrd7.png</t>
  </si>
  <si>
    <t>Không cho tạo order giá trị âm</t>
  </si>
  <si>
    <t>TC-ORDER-008</t>
  </si>
  <si>
    <t>Tạo order với sub_total_amount là chữ</t>
  </si>
  <si>
    <t>POST /api/orders, body: promotion_code = SUPER15, sub_total_amount = abc</t>
  </si>
  <si>
    <t>TCAPIOrd8.png</t>
  </si>
  <si>
    <t>Validation kiểu dữ liệu hoạt động đúng</t>
  </si>
  <si>
    <t>TC-ORDER-009</t>
  </si>
  <si>
    <t>Tạo order với mã promotion không tồn tại</t>
  </si>
  <si>
    <t>POST /api/orders, body: promotion_code = ABCXYZ, sub_total_amount = 100000</t>
  </si>
  <si>
    <t>Trả 400 Bad Request; message mã khuyến mãi không hợp lệ/không tồn tại</t>
  </si>
  <si>
    <t>TCAPIOrd9.png</t>
  </si>
  <si>
    <t>Không áp dụng mã không tồn tại</t>
  </si>
  <si>
    <t>3. Kiểm tra authentication API</t>
  </si>
  <si>
    <t>TC-ORDER-010</t>
  </si>
  <si>
    <t>Tạo order khi Basic Auth sai mật khẩu</t>
  </si>
  <si>
    <t>POST /api/orders, Basic Auth sai password, body: sub_total_amount = 100000</t>
  </si>
  <si>
    <t>Trả 401 Unauthorized; không tạo order</t>
  </si>
  <si>
    <t>TCAPIOrd10.png</t>
  </si>
  <si>
    <t>Authentication hoạt động đúng</t>
  </si>
  <si>
    <t>TC-ORDER-011</t>
  </si>
  <si>
    <t>Cập nhật trạng thái order khi chưa đăng nhập</t>
  </si>
  <si>
    <t>PATCH /orders/999999, không gửi Authorization, body: status=CANCELLED</t>
  </si>
  <si>
    <t>Trả 401 Unauthorized; không cho cập nhật order</t>
  </si>
  <si>
    <t>TCAPIOrd11.png</t>
  </si>
  <si>
    <t>Kiểm tra authentication khi cập nhật order</t>
  </si>
  <si>
    <t>4. Kiểm tra cập nhật trạng thái order</t>
  </si>
  <si>
    <t>TC-ORDER-012</t>
  </si>
  <si>
    <t>Cập nhật trạng thái cho order không tồn tại</t>
  </si>
  <si>
    <t>PATCH /orders/999999, body: status=CANCELLED</t>
  </si>
  <si>
    <t>Trả 404 Not Found; không cập nhật dữ liệu</t>
  </si>
  <si>
    <t>TCAPIOrd12.png</t>
  </si>
  <si>
    <t>Kiểm tra xử lý order không tồn tại</t>
  </si>
  <si>
    <t>TC-ORDER-013</t>
  </si>
  <si>
    <t>Cập nhật trạng thái order hợp lệ</t>
  </si>
  <si>
    <t>PATCH /orders/14, body: status=COMPLETED</t>
  </si>
  <si>
    <t>Trả 204 No Content; trạng thái order được cập nhật thành COMPLETED</t>
  </si>
  <si>
    <t>TCAPIOrd13.png</t>
  </si>
  <si>
    <t>Kiểm tra update status hợp lệ</t>
  </si>
  <si>
    <t>TC-ORDER-014</t>
  </si>
  <si>
    <t>Cập nhật order với trạng thái không hợp lệ</t>
  </si>
  <si>
    <t>PATCH /orders/13, body: status=ABCXYZ</t>
  </si>
  <si>
    <t>Trả 400 Bad Request; không cập nhật trạng thái order</t>
  </si>
  <si>
    <t>TCAPIOrd14.png</t>
  </si>
  <si>
    <t>Validation status hoạt động đúng</t>
  </si>
  <si>
    <t>TC-ORDER-015</t>
  </si>
  <si>
    <t>Cập nhật order thiếu trường status</t>
  </si>
  <si>
    <t>PATCH /orders/13, không gửi field status</t>
  </si>
  <si>
    <t>TCAPIOrd15.png</t>
  </si>
  <si>
    <t>Kiểm tra validation khi thiếu status</t>
  </si>
  <si>
    <t>TC-ORDER-016</t>
  </si>
  <si>
    <t>Không cho cập nhật trạng thái order đã hoàn tất</t>
  </si>
  <si>
    <t>PATCH /orders/14, body: status=PENDING</t>
  </si>
  <si>
    <t>Trả 400 Bad Request; không cho cập nhật vì order không còn ở trạng thái chờ xử lý</t>
  </si>
  <si>
    <t>TCAPIOrd16.png</t>
  </si>
  <si>
    <t>Chỉ cho cập nhật order đang PENDING</t>
  </si>
  <si>
    <t>TC-ORDER-017</t>
  </si>
  <si>
    <t>Cập nhật order sang trạng thái CANCELLED</t>
  </si>
  <si>
    <t>PATCH /orders/12, body: status=CANCELLED</t>
  </si>
  <si>
    <t>Trả 204 No Content; trạng thái order được cập nhật thành CANCELLED</t>
  </si>
  <si>
    <t>TCAPIOrd17.png</t>
  </si>
  <si>
    <t>Kiểm tra hủy order đang chờ xử lý</t>
  </si>
  <si>
    <t>TEST REPORT</t>
  </si>
  <si>
    <t>Note:</t>
  </si>
  <si>
    <t>Báo cáo kết quả kiểm thử hệ thống Discounts Management</t>
  </si>
  <si>
    <t>Date</t>
  </si>
  <si>
    <t>No</t>
  </si>
  <si>
    <t>Module code</t>
  </si>
  <si>
    <t>Number of test cases</t>
  </si>
  <si>
    <t>AUTH</t>
  </si>
  <si>
    <t>USER</t>
  </si>
  <si>
    <t>ORD</t>
  </si>
  <si>
    <t>PRO</t>
  </si>
  <si>
    <t>STAT</t>
  </si>
  <si>
    <t>API_PRO</t>
  </si>
  <si>
    <t>API_ORD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</si>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</sst>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d\-m"/>
    <numFmt numFmtId="180" formatCode="d\.m"/>
  </numFmts>
  <fonts count="47">
    <font>
      <sz val="10"/>
      <color rgb="FF000000"/>
      <name val="Arial"/>
      <charset val="134"/>
      <scheme val="minor"/>
    </font>
    <font>
      <b/>
      <sz val="18"/>
      <color rgb="FF000000"/>
      <name val="Tahoma"/>
      <charset val="134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  <font>
      <sz val="11"/>
      <color rgb="FF000000"/>
      <name val="ＭＳ Ｐゴシック"/>
      <charset val="134"/>
    </font>
    <font>
      <b/>
      <sz val="10"/>
      <color rgb="FFFFFFFF"/>
      <name val="Tahoma"/>
      <charset val="134"/>
    </font>
    <font>
      <sz val="10"/>
      <color rgb="FF000000"/>
      <name val="ＭＳ Ｐゴシック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8"/>
      <color rgb="FF000000"/>
      <name val="Tahoma"/>
      <charset val="134"/>
    </font>
    <font>
      <sz val="10"/>
      <name val="Arial"/>
      <charset val="134"/>
      <scheme val="minor"/>
    </font>
    <font>
      <sz val="10"/>
      <color rgb="FF000000"/>
      <name val="Arial"/>
      <charset val="134"/>
    </font>
    <font>
      <b/>
      <sz val="12"/>
      <color rgb="FFFFFFFF"/>
      <name val="Tahoma"/>
      <charset val="134"/>
    </font>
    <font>
      <sz val="10"/>
      <color theme="1"/>
      <name val="Tahoma"/>
      <charset val="134"/>
    </font>
    <font>
      <sz val="10"/>
      <color theme="1"/>
      <name val="Arial"/>
      <charset val="134"/>
    </font>
    <font>
      <u/>
      <sz val="10"/>
      <color rgb="FF000000"/>
      <name val="Tahoma"/>
      <charset val="134"/>
    </font>
    <font>
      <sz val="10"/>
      <color rgb="FFFF0000"/>
      <name val="Tahoma"/>
      <charset val="134"/>
    </font>
    <font>
      <u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theme="1"/>
      <name val="Tahoma"/>
      <charset val="134"/>
    </font>
    <font>
      <b/>
      <sz val="10"/>
      <color theme="1"/>
      <name val="Tahoma"/>
      <charset val="134"/>
    </font>
    <font>
      <sz val="11"/>
      <color theme="1"/>
      <name val="Carlito"/>
      <charset val="134"/>
    </font>
    <font>
      <u/>
      <sz val="10"/>
      <color theme="1"/>
      <name val="Arial"/>
      <charset val="134"/>
    </font>
    <font>
      <sz val="10"/>
      <color rgb="FF1F1F1F"/>
      <name val="Tahoma"/>
      <charset val="134"/>
    </font>
    <font>
      <u/>
      <sz val="14"/>
      <color rgb="FF000000"/>
      <name val="Times New Roman"/>
      <charset val="134"/>
    </font>
    <font>
      <sz val="11"/>
      <color rgb="FF000000"/>
      <name val="Tahoma"/>
      <charset val="134"/>
    </font>
    <font>
      <b/>
      <sz val="10"/>
      <color rgb="FF993300"/>
      <name val="Tahom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7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9" borderId="20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10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</cellStyleXfs>
  <cellXfs count="9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78" fontId="3" fillId="0" borderId="1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5" fillId="2" borderId="7" xfId="0" applyFont="1" applyFill="1" applyBorder="1" applyAlignment="1"/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2" fillId="3" borderId="0" xfId="0" applyFont="1" applyFill="1" applyAlignment="1"/>
    <xf numFmtId="0" fontId="9" fillId="3" borderId="0" xfId="0" applyFont="1" applyFill="1" applyAlignment="1">
      <alignment horizontal="center"/>
    </xf>
    <xf numFmtId="0" fontId="9" fillId="3" borderId="0" xfId="0" applyFont="1" applyFill="1" applyAlignment="1"/>
    <xf numFmtId="0" fontId="3" fillId="3" borderId="0" xfId="0" applyFont="1" applyFill="1" applyAlignment="1"/>
    <xf numFmtId="0" fontId="10" fillId="0" borderId="7" xfId="0" applyFont="1" applyBorder="1"/>
    <xf numFmtId="0" fontId="2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10" fillId="0" borderId="11" xfId="0" applyFont="1" applyBorder="1"/>
    <xf numFmtId="0" fontId="10" fillId="0" borderId="12" xfId="0" applyFont="1" applyBorder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11" fillId="0" borderId="0" xfId="0" applyFont="1" applyAlignment="1"/>
    <xf numFmtId="0" fontId="3" fillId="3" borderId="10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1" fillId="0" borderId="11" xfId="0" applyFont="1" applyBorder="1" applyAlignment="1"/>
    <xf numFmtId="0" fontId="3" fillId="3" borderId="7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3" xfId="0" applyFont="1" applyFill="1" applyBorder="1" applyAlignment="1"/>
    <xf numFmtId="0" fontId="5" fillId="4" borderId="1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10" fillId="0" borderId="15" xfId="0" applyFont="1" applyBorder="1"/>
    <xf numFmtId="0" fontId="10" fillId="0" borderId="6" xfId="0" applyFont="1" applyBorder="1"/>
    <xf numFmtId="0" fontId="12" fillId="5" borderId="12" xfId="0" applyFont="1" applyFill="1" applyBorder="1" applyAlignment="1">
      <alignment horizontal="left"/>
    </xf>
    <xf numFmtId="0" fontId="2" fillId="6" borderId="10" xfId="0" applyFont="1" applyFill="1" applyBorder="1" applyAlignment="1">
      <alignment horizontal="left"/>
    </xf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4" fillId="0" borderId="11" xfId="0" applyFont="1" applyBorder="1" applyAlignment="1"/>
    <xf numFmtId="0" fontId="15" fillId="0" borderId="9" xfId="0" applyFont="1" applyBorder="1" applyAlignment="1">
      <alignment horizontal="left" vertical="top"/>
    </xf>
    <xf numFmtId="179" fontId="16" fillId="0" borderId="10" xfId="0" applyNumberFormat="1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14" fillId="0" borderId="0" xfId="0" applyFont="1" applyAlignment="1"/>
    <xf numFmtId="0" fontId="3" fillId="0" borderId="11" xfId="0" applyFont="1" applyBorder="1" applyAlignment="1">
      <alignment horizontal="left" vertical="top"/>
    </xf>
    <xf numFmtId="0" fontId="17" fillId="0" borderId="9" xfId="0" applyFont="1" applyBorder="1" applyAlignment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18" fillId="0" borderId="0" xfId="0" applyFont="1" applyAlignment="1"/>
    <xf numFmtId="0" fontId="18" fillId="0" borderId="3" xfId="0" applyFont="1" applyBorder="1" applyAlignment="1"/>
    <xf numFmtId="0" fontId="19" fillId="0" borderId="9" xfId="0" applyFont="1" applyBorder="1" applyAlignment="1">
      <alignment vertical="top"/>
    </xf>
    <xf numFmtId="0" fontId="20" fillId="3" borderId="0" xfId="0" applyFont="1" applyFill="1" applyAlignment="1"/>
    <xf numFmtId="0" fontId="14" fillId="3" borderId="0" xfId="0" applyFont="1" applyFill="1" applyAlignment="1"/>
    <xf numFmtId="0" fontId="20" fillId="3" borderId="9" xfId="0" applyFont="1" applyFill="1" applyBorder="1" applyAlignment="1"/>
    <xf numFmtId="0" fontId="13" fillId="3" borderId="10" xfId="0" applyFont="1" applyFill="1" applyBorder="1" applyAlignment="1"/>
    <xf numFmtId="0" fontId="13" fillId="3" borderId="10" xfId="0" applyFont="1" applyFill="1" applyBorder="1" applyAlignment="1">
      <alignment vertical="top"/>
    </xf>
    <xf numFmtId="0" fontId="13" fillId="3" borderId="9" xfId="0" applyFont="1" applyFill="1" applyBorder="1" applyAlignment="1">
      <alignment horizontal="right"/>
    </xf>
    <xf numFmtId="0" fontId="13" fillId="3" borderId="9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3" borderId="11" xfId="0" applyFont="1" applyFill="1" applyBorder="1" applyAlignment="1"/>
    <xf numFmtId="0" fontId="14" fillId="3" borderId="7" xfId="0" applyFont="1" applyFill="1" applyBorder="1" applyAlignment="1"/>
    <xf numFmtId="0" fontId="14" fillId="5" borderId="12" xfId="0" applyFont="1" applyFill="1" applyBorder="1" applyAlignment="1"/>
    <xf numFmtId="0" fontId="14" fillId="0" borderId="12" xfId="0" applyFont="1" applyBorder="1" applyAlignment="1"/>
    <xf numFmtId="0" fontId="20" fillId="6" borderId="10" xfId="0" applyFont="1" applyFill="1" applyBorder="1" applyAlignment="1"/>
    <xf numFmtId="0" fontId="21" fillId="0" borderId="0" xfId="0" applyFont="1" applyAlignment="1">
      <alignment vertical="top"/>
    </xf>
    <xf numFmtId="0" fontId="11" fillId="0" borderId="12" xfId="0" applyFont="1" applyBorder="1" applyAlignment="1"/>
    <xf numFmtId="0" fontId="22" fillId="0" borderId="9" xfId="0" applyFont="1" applyBorder="1" applyAlignment="1">
      <alignment vertical="top"/>
    </xf>
    <xf numFmtId="0" fontId="19" fillId="0" borderId="9" xfId="0" applyFont="1" applyBorder="1" applyAlignment="1">
      <alignment horizontal="left" vertical="top"/>
    </xf>
    <xf numFmtId="0" fontId="23" fillId="0" borderId="9" xfId="0" applyFont="1" applyBorder="1" applyAlignment="1">
      <alignment horizontal="left" vertical="top"/>
    </xf>
    <xf numFmtId="0" fontId="24" fillId="0" borderId="0" xfId="0" applyFont="1" applyAlignment="1"/>
    <xf numFmtId="0" fontId="25" fillId="0" borderId="0" xfId="0" applyFont="1" applyAlignment="1"/>
    <xf numFmtId="0" fontId="25" fillId="3" borderId="0" xfId="0" applyFont="1" applyFill="1" applyAlignment="1"/>
    <xf numFmtId="0" fontId="1" fillId="3" borderId="0" xfId="0" applyFont="1" applyFill="1" applyAlignment="1"/>
    <xf numFmtId="0" fontId="26" fillId="3" borderId="0" xfId="0" applyFont="1" applyFill="1" applyAlignment="1"/>
    <xf numFmtId="180" fontId="3" fillId="3" borderId="0" xfId="0" applyNumberFormat="1" applyFont="1" applyFill="1" applyAlignment="1">
      <alignment horizontal="left"/>
    </xf>
    <xf numFmtId="178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6" fillId="0" borderId="0" xfId="0" applyFont="1" applyAlignment="1"/>
    <xf numFmtId="0" fontId="5" fillId="2" borderId="9" xfId="0" applyFont="1" applyFill="1" applyBorder="1" applyAlignment="1">
      <alignment horizontal="center"/>
    </xf>
    <xf numFmtId="178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/>
    <xf numFmtId="0" fontId="18" fillId="0" borderId="9" xfId="0" applyFont="1" applyBorder="1" applyAlignment="1">
      <alignment horizontal="center"/>
    </xf>
    <xf numFmtId="180" fontId="3" fillId="0" borderId="9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82eefYYjCQs8Nn8SZkCBuV6amgnUXVfx/view?usp=sharing" TargetMode="External"/><Relationship Id="rId8" Type="http://schemas.openxmlformats.org/officeDocument/2006/relationships/hyperlink" Target="https://drive.google.com/file/d/1lnzMMEmXI3Up6fGTse82GM9H45LPle1v/view?usp=sharing" TargetMode="External"/><Relationship Id="rId7" Type="http://schemas.openxmlformats.org/officeDocument/2006/relationships/hyperlink" Target="https://drive.google.com/file/d/1hJ63hsA4moO63FDDZ0SNChq-1XUuQr2Q/view?usp=sharing" TargetMode="External"/><Relationship Id="rId6" Type="http://schemas.openxmlformats.org/officeDocument/2006/relationships/hyperlink" Target="https://drive.google.com/file/d/1v3X8ZcVLJgfVN35JPwD_jvNAlrrOAdt4/view?usp=sharing" TargetMode="External"/><Relationship Id="rId5" Type="http://schemas.openxmlformats.org/officeDocument/2006/relationships/hyperlink" Target="https://drive.google.com/file/d/1_jU4PoykUMk1eDwWIrJ4iQ__hkUs1yLf/view?usp=sharing" TargetMode="External"/><Relationship Id="rId4" Type="http://schemas.openxmlformats.org/officeDocument/2006/relationships/hyperlink" Target="https://drive.google.com/file/d/1ol_TO33uwRR9O8K1ASOMFOIpsdJXjaYk/view?usp=sharing" TargetMode="External"/><Relationship Id="rId3" Type="http://schemas.openxmlformats.org/officeDocument/2006/relationships/hyperlink" Target="https://drive.google.com/file/d/1l0nLmKo-iNDJzMlboe0dfFkk-B_w9sTF/view?usp=sharing" TargetMode="External"/><Relationship Id="rId2" Type="http://schemas.openxmlformats.org/officeDocument/2006/relationships/hyperlink" Target="https://drive.google.com/file/d/1B8a8rngq_g9WKn8i5GbVnQj0HkbSWltR/view?usp=sharing" TargetMode="External"/><Relationship Id="rId13" Type="http://schemas.openxmlformats.org/officeDocument/2006/relationships/hyperlink" Target="https://drive.google.com/file/d/1H_Uo3LVqgBkFHp7h5ztk8vnXxfvFg46U/view?usp=sharing" TargetMode="External"/><Relationship Id="rId12" Type="http://schemas.openxmlformats.org/officeDocument/2006/relationships/hyperlink" Target="https://drive.google.com/file/d/1wABj0F3CjqeJs3dYjKhZUorkN0BewGg6/view?usp=sharing" TargetMode="External"/><Relationship Id="rId11" Type="http://schemas.openxmlformats.org/officeDocument/2006/relationships/hyperlink" Target="https://drive.google.com/file/d/1iN5bw3FCNZzrpVjRM5pUDPBaLLmTVe6E/view?usp=sharing" TargetMode="External"/><Relationship Id="rId10" Type="http://schemas.openxmlformats.org/officeDocument/2006/relationships/hyperlink" Target="https://drive.google.com/file/d/1sXF1IqT34XB4PYTyBjI5-A8n-B8Rd7U6/view?usp=sharing" TargetMode="External"/><Relationship Id="rId1" Type="http://schemas.openxmlformats.org/officeDocument/2006/relationships/hyperlink" Target="https://docs.google.com/spreadsheets/d/1H0kBUBCjG8Yo2cHSmgkZvUed522hQ2V4T5Hsqj3oYzI/edit?gid=0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6vcnsa0rDGfUu6TSh5wO82QgExMkYogG/view?usp=sharing" TargetMode="External"/><Relationship Id="rId8" Type="http://schemas.openxmlformats.org/officeDocument/2006/relationships/hyperlink" Target="https://drive.google.com/file/d/1n5Pkxt-aVu72pMoTp0Ds5fuwDd4rX_aG/view?usp=sharing" TargetMode="External"/><Relationship Id="rId7" Type="http://schemas.openxmlformats.org/officeDocument/2006/relationships/hyperlink" Target="https://drive.google.com/file/d/14dgBFEz_m20JgJnHoTmsXHjQBJGuUm0Q/view?usp=sharing" TargetMode="External"/><Relationship Id="rId6" Type="http://schemas.openxmlformats.org/officeDocument/2006/relationships/hyperlink" Target="https://drive.google.com/file/d/1IxDtcMocs1jiAtwaXLdIMXt1NsXkbUk7/view?usp=sharing" TargetMode="External"/><Relationship Id="rId5" Type="http://schemas.openxmlformats.org/officeDocument/2006/relationships/hyperlink" Target="https://drive.google.com/file/d/1FoL32iGvdRw74WXGEvZJz3tPvqrO6zY5/view?usp=sharing" TargetMode="External"/><Relationship Id="rId4" Type="http://schemas.openxmlformats.org/officeDocument/2006/relationships/hyperlink" Target="https://drive.google.com/file/d/1KYU76YYYzO3gE1GWyqO6iFyGXtWQxoLI/view?usp=sharing" TargetMode="External"/><Relationship Id="rId3" Type="http://schemas.openxmlformats.org/officeDocument/2006/relationships/hyperlink" Target="https://drive.google.com/file/d/1FJXfE5H8-b7wzqSupBwfPOyOnGEEO7HE/view?usp=sharing" TargetMode="External"/><Relationship Id="rId2" Type="http://schemas.openxmlformats.org/officeDocument/2006/relationships/hyperlink" Target="https://drive.google.com/file/d/1q-pMJCG1fmtZK-pqoOZ4jQuH1_gH4tAv/view?usp=sharing" TargetMode="External"/><Relationship Id="rId10" Type="http://schemas.openxmlformats.org/officeDocument/2006/relationships/hyperlink" Target="https://drive.google.com/file/d/18BTfsCV85ep01JNPZKct_0F_Lp-utlTt/view?usp=sharing" TargetMode="External"/><Relationship Id="rId1" Type="http://schemas.openxmlformats.org/officeDocument/2006/relationships/hyperlink" Target="https://drive.google.com/file/d/1JOPhnpOuRnYiPRGWIx3mkqPuWHiO49tN/view?usp=sharing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drive.google.com/file/d/1N-P09FcD5iKI7y6kzvsYcg_T1Qc2_AZs/view?usp=sharing" TargetMode="External"/><Relationship Id="rId6" Type="http://schemas.openxmlformats.org/officeDocument/2006/relationships/hyperlink" Target="https://drive.google.com/file/d/1wZ5c8zOC25OuYxIUuhY62hsWRGQKognn/view?usp=sharing" TargetMode="External"/><Relationship Id="rId5" Type="http://schemas.openxmlformats.org/officeDocument/2006/relationships/hyperlink" Target="https://drive.google.com/file/d/1_kI52UqjMohw8tQmWTeC2VVF70y3oxLB/view?usp=sharing" TargetMode="External"/><Relationship Id="rId4" Type="http://schemas.openxmlformats.org/officeDocument/2006/relationships/hyperlink" Target="https://drive.google.com/file/d/1MhR8Y-ewCspUirDEIiC8HeKquFhrR_jz/view?usp=sharing" TargetMode="External"/><Relationship Id="rId3" Type="http://schemas.openxmlformats.org/officeDocument/2006/relationships/hyperlink" Target="https://drive.google.com/file/d/1StUbZ_1JjlU9nPabPtlrP2CpmvbfIXX1/view?usp=sharing" TargetMode="External"/><Relationship Id="rId2" Type="http://schemas.openxmlformats.org/officeDocument/2006/relationships/hyperlink" Target="https://drive.google.com/file/d/1LWssz4lkNHULIU1YKQ7285o14zQ94CnL/view?usp=sharing" TargetMode="External"/><Relationship Id="rId1" Type="http://schemas.openxmlformats.org/officeDocument/2006/relationships/hyperlink" Target="https://drive.google.com/file/d/1GKl3p0uaZ2XDi-05GbaJBkY8pSCa0nnz/view?usp=sharing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rvhnoGSgwDbm-wzuiTpr_lfnRH-S31-e/view?usp=sharing" TargetMode="External"/><Relationship Id="rId8" Type="http://schemas.openxmlformats.org/officeDocument/2006/relationships/hyperlink" Target="https://drive.google.com/file/d/1VnCemKFiTN3row-mCPpfxC3JhJJyrJ7b/view?usp=sharing" TargetMode="External"/><Relationship Id="rId7" Type="http://schemas.openxmlformats.org/officeDocument/2006/relationships/hyperlink" Target="https://drive.google.com/file/d/16QvgJFLYx6rmaVS9O_CQGxeRISesHMxb/view?usp=sharing" TargetMode="External"/><Relationship Id="rId6" Type="http://schemas.openxmlformats.org/officeDocument/2006/relationships/hyperlink" Target="https://drive.google.com/file/d/1GqW4_PQXl3WYBs5GEbpEe71zc2fyXXiZ/view?usp=sharing" TargetMode="External"/><Relationship Id="rId5" Type="http://schemas.openxmlformats.org/officeDocument/2006/relationships/hyperlink" Target="https://drive.google.com/file/d/15CtU5G-7Oz9zJoTxVmDlLs4De3yEjAbI/view?usp=sharing" TargetMode="External"/><Relationship Id="rId4" Type="http://schemas.openxmlformats.org/officeDocument/2006/relationships/hyperlink" Target="https://drive.google.com/file/d/1H4QurjVBzRl6XsPRpdvj4vHJQvZq03H3/view?usp=sharing" TargetMode="External"/><Relationship Id="rId3" Type="http://schemas.openxmlformats.org/officeDocument/2006/relationships/hyperlink" Target="https://drive.google.com/file/d/1k6oYkmmcBYtiSr080RfLRsaXnnuZr-Vc/view?usp=sharing" TargetMode="External"/><Relationship Id="rId20" Type="http://schemas.openxmlformats.org/officeDocument/2006/relationships/hyperlink" Target="https://drive.google.com/file/d/1WfvtOuwJjlBio641fnQVe8uPGtbUfOcd/view?usp=sharing" TargetMode="External"/><Relationship Id="rId2" Type="http://schemas.openxmlformats.org/officeDocument/2006/relationships/hyperlink" Target="https://drive.google.com/file/d/1q7ClTTIM8lKEmkHMNNZkuJaKbG6U1QUm/view?usp=sharing" TargetMode="External"/><Relationship Id="rId19" Type="http://schemas.openxmlformats.org/officeDocument/2006/relationships/hyperlink" Target="https://drive.google.com/file/d/1EsKOKeKiceTCq-O-vFdFqTj7xfxHmxbG/view?usp=sharing" TargetMode="External"/><Relationship Id="rId18" Type="http://schemas.openxmlformats.org/officeDocument/2006/relationships/hyperlink" Target="https://drive.google.com/file/d/1qbsNWXhr7KTyG8qxHbTfM3bxZvjPN9JJ/view?usp=sharing" TargetMode="External"/><Relationship Id="rId17" Type="http://schemas.openxmlformats.org/officeDocument/2006/relationships/hyperlink" Target="https://drive.google.com/file/d/16ynh8SmlLjgWHLHXjYzYc2ult4TJNVPU/view?usp=sharing" TargetMode="External"/><Relationship Id="rId16" Type="http://schemas.openxmlformats.org/officeDocument/2006/relationships/hyperlink" Target="https://drive.google.com/file/d/116XxnBLrWIeDOWcgnl60CrC-o9Ss_dq9/view?usp=sharing" TargetMode="External"/><Relationship Id="rId15" Type="http://schemas.openxmlformats.org/officeDocument/2006/relationships/hyperlink" Target="https://drive.google.com/file/d/1cO5VBxu5Bj4jdc-FMDtTFfxMhuHUTBPz/view?usp=sharing" TargetMode="External"/><Relationship Id="rId14" Type="http://schemas.openxmlformats.org/officeDocument/2006/relationships/hyperlink" Target="https://drive.google.com/file/d/1NL6CaLERcUwWDTMqLg03XSx1ZgWY07hR/view?usp=sharing" TargetMode="External"/><Relationship Id="rId13" Type="http://schemas.openxmlformats.org/officeDocument/2006/relationships/hyperlink" Target="https://drive.google.com/file/d/1c6r_lOBGNgdYgxLg5jTl4y2Nqc0v5r1m/view?usp=sharing" TargetMode="External"/><Relationship Id="rId12" Type="http://schemas.openxmlformats.org/officeDocument/2006/relationships/hyperlink" Target="https://drive.google.com/file/d/1P1Dl9C_zA9oIMcoy6AleztUPxylg0eMU/view?usp=sharing" TargetMode="External"/><Relationship Id="rId11" Type="http://schemas.openxmlformats.org/officeDocument/2006/relationships/hyperlink" Target="https://drive.google.com/file/d/1bYViHqD6rvxCJq4zsOMgWzAfFMQBQZqA/view?usp=sharing" TargetMode="External"/><Relationship Id="rId10" Type="http://schemas.openxmlformats.org/officeDocument/2006/relationships/hyperlink" Target="https://drive.google.com/file/d/1M-83dt_KevwdIfT0hy9tnDZyBUTaGF1B/view?usp=sharing" TargetMode="External"/><Relationship Id="rId1" Type="http://schemas.openxmlformats.org/officeDocument/2006/relationships/hyperlink" Target="https://drive.google.com/file/d/1sC8u8U9Ydc2m98OJyVcIChfbSZUv8epN/view?usp=sharing" TargetMode="External"/></Relationships>
</file>

<file path=xl/worksheets/_rels/sheet6.xml.rels><?xml version="1.0" encoding="UTF-8" standalone="yes"?>
<Relationships xmlns="http://schemas.openxmlformats.org/package/2006/relationships"><Relationship Id="rId7" Type="http://schemas.openxmlformats.org/officeDocument/2006/relationships/hyperlink" Target="https://drive.google.com/file/d/1KuRSbSJoS3PCzShKPKmC3A-6CJAUSdNo/view?usp=sharing" TargetMode="External"/><Relationship Id="rId6" Type="http://schemas.openxmlformats.org/officeDocument/2006/relationships/hyperlink" Target="https://drive.google.com/file/d/1-6f5c0c8mImgfIXMV_BMUT6PMjKkNmID/view?usp=sharing" TargetMode="External"/><Relationship Id="rId5" Type="http://schemas.openxmlformats.org/officeDocument/2006/relationships/hyperlink" Target="https://drive.google.com/file/d/12gj4B5LwGzZzdx8firMtEBTEif14WnCw/view?usp=sharing" TargetMode="External"/><Relationship Id="rId4" Type="http://schemas.openxmlformats.org/officeDocument/2006/relationships/hyperlink" Target="https://drive.google.com/file/d/1V6WijgR_UufQJc0zyknZFwEBcCFRDFOa/view?usp=sharing" TargetMode="External"/><Relationship Id="rId3" Type="http://schemas.openxmlformats.org/officeDocument/2006/relationships/hyperlink" Target="https://drive.google.com/file/d/1T0OJTOG-X4i9qTbn9sIsDXg8zURy0x1d/view?usp=sharing" TargetMode="External"/><Relationship Id="rId2" Type="http://schemas.openxmlformats.org/officeDocument/2006/relationships/hyperlink" Target="https://drive.google.com/file/d/1X1ssfzHuzYdWnQWxZlfYVUDcESeg_pfb/view?usp=sharing" TargetMode="External"/><Relationship Id="rId1" Type="http://schemas.openxmlformats.org/officeDocument/2006/relationships/hyperlink" Target="https://drive.google.com/file/d/1GBpkrpNhOIZmX_gJlHrAAIwDxyWt91pW/view?usp=sharing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71w6dr8M8lmW9qbmnGvshRHegI0knQ9A/view?usp=sharing" TargetMode="External"/><Relationship Id="rId8" Type="http://schemas.openxmlformats.org/officeDocument/2006/relationships/hyperlink" Target="https://drive.google.com/file/d/1BuFg9Bfl4yFfmxff_WlIQFyBSEkU6z0U/view?usp=sharing" TargetMode="External"/><Relationship Id="rId7" Type="http://schemas.openxmlformats.org/officeDocument/2006/relationships/hyperlink" Target="https://drive.google.com/file/d/1uWeZgGc2ujbk1h9TgkwURkfjEl895ksh/view?usp=sharing" TargetMode="External"/><Relationship Id="rId6" Type="http://schemas.openxmlformats.org/officeDocument/2006/relationships/hyperlink" Target="https://drive.google.com/file/d/1KQcy8ae7EOEiRv3eiYptZMNquAQnNicr/view?usp=sharing" TargetMode="External"/><Relationship Id="rId5" Type="http://schemas.openxmlformats.org/officeDocument/2006/relationships/hyperlink" Target="https://drive.google.com/file/d/1N2WZErurq3eeepMeKtUxybIm76VXrqgL/view?usp=sharing" TargetMode="External"/><Relationship Id="rId4" Type="http://schemas.openxmlformats.org/officeDocument/2006/relationships/hyperlink" Target="https://drive.google.com/file/d/1YVT3u1CGVbHb3OKQkNXsvhsV7_T8UYCm/view?usp=sharing" TargetMode="External"/><Relationship Id="rId3" Type="http://schemas.openxmlformats.org/officeDocument/2006/relationships/hyperlink" Target="https://drive.google.com/file/d/1ZColJv7Gnk1_j-dG6hJfQ8wW8qTkf37l/view?usp=sharing" TargetMode="External"/><Relationship Id="rId2" Type="http://schemas.openxmlformats.org/officeDocument/2006/relationships/hyperlink" Target="https://drive.google.com/file/d/1gXUnbVnEDLmzYIrJdJozp9-KtJLf5kli/view?usp=sharing" TargetMode="External"/><Relationship Id="rId1" Type="http://schemas.openxmlformats.org/officeDocument/2006/relationships/hyperlink" Target="https://drive.google.com/file/d/1ofSBryDf1VfDPb-F59RiJmK2Pe_pVDKJ/view?usp=sharing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Ot3YmPWMdo6t77EgfLH_MM01Ltl-jyLE/view?usp=sharing" TargetMode="External"/><Relationship Id="rId8" Type="http://schemas.openxmlformats.org/officeDocument/2006/relationships/hyperlink" Target="https://drive.google.com/file/d/1TdlVK4Yn37goShtw-uanFpiK9i6yQV0c/view?usp=sharing" TargetMode="External"/><Relationship Id="rId7" Type="http://schemas.openxmlformats.org/officeDocument/2006/relationships/hyperlink" Target="https://drive.google.com/file/d/1iUUDYF4uHljVqcONL4mx8-IxjB9APCFO/view?usp=sharing" TargetMode="External"/><Relationship Id="rId6" Type="http://schemas.openxmlformats.org/officeDocument/2006/relationships/hyperlink" Target="https://drive.google.com/file/d/1Mp7kXHdBuVcDYNTUP_efukF7QRwFFtsg/view?usp=sharing" TargetMode="External"/><Relationship Id="rId5" Type="http://schemas.openxmlformats.org/officeDocument/2006/relationships/hyperlink" Target="https://drive.google.com/file/d/1nEMob1VPIABjK11MELkQARlbqD7L8TOy/view?usp=sharing" TargetMode="External"/><Relationship Id="rId4" Type="http://schemas.openxmlformats.org/officeDocument/2006/relationships/hyperlink" Target="https://drive.google.com/file/d/1z3h8pLQEaPFYSsFl6g0hZwmUmnBLWjqj/view?usp=drive_link" TargetMode="External"/><Relationship Id="rId3" Type="http://schemas.openxmlformats.org/officeDocument/2006/relationships/hyperlink" Target="https://drive.google.com/file/d/1NGvz3UoZb4IQ_8_4LXgAJZm7n6b7ca1n/view?usp=sharing" TargetMode="External"/><Relationship Id="rId24" Type="http://schemas.openxmlformats.org/officeDocument/2006/relationships/hyperlink" Target="https://drive.google.com/file/d/1mRQGzsvBAV8As4shaVJzvktwXQwC-UBA/view?usp=sharing" TargetMode="External"/><Relationship Id="rId23" Type="http://schemas.openxmlformats.org/officeDocument/2006/relationships/hyperlink" Target="https://drive.google.com/file/d/1ekMAXgp9q4m251S6LmkBgKzER2gawMEg/view?usp=sharing" TargetMode="External"/><Relationship Id="rId22" Type="http://schemas.openxmlformats.org/officeDocument/2006/relationships/hyperlink" Target="https://drive.google.com/file/d/1nN38zhZyclp92hWMma4fxy9XOUKi91R0/view?usp=sharing" TargetMode="External"/><Relationship Id="rId21" Type="http://schemas.openxmlformats.org/officeDocument/2006/relationships/hyperlink" Target="https://drive.google.com/file/d/1RoLtQC7s4cnejDN8YhNaKAYW6pHW7gFZ/view?usp=sharing" TargetMode="External"/><Relationship Id="rId20" Type="http://schemas.openxmlformats.org/officeDocument/2006/relationships/hyperlink" Target="https://drive.google.com/file/d/1FJOHMpvGczGG5Esa3qUmRmi4nWyD6rsk/view?usp=sharing" TargetMode="External"/><Relationship Id="rId2" Type="http://schemas.openxmlformats.org/officeDocument/2006/relationships/hyperlink" Target="https://drive.google.com/file/d/1t_4tFPJ2lWLzdL8VNyIu-AkbiS5NtzZb/view?usp=sharing" TargetMode="External"/><Relationship Id="rId19" Type="http://schemas.openxmlformats.org/officeDocument/2006/relationships/hyperlink" Target="https://drive.google.com/file/d/1CP-83EXbXkyCaC9pBvvB_xHUlWIwirsl/view?usp=sharing" TargetMode="External"/><Relationship Id="rId18" Type="http://schemas.openxmlformats.org/officeDocument/2006/relationships/hyperlink" Target="https://drive.google.com/file/d/1SVJJTc_nBtYDaGxtGIt04U_rY_ag6p2j/view?usp=sharing" TargetMode="External"/><Relationship Id="rId17" Type="http://schemas.openxmlformats.org/officeDocument/2006/relationships/hyperlink" Target="https://drive.google.com/file/d/1St0Go3aTk8K8RIpQYVUHLk5XvstnA6DU/view?usp=sharing" TargetMode="External"/><Relationship Id="rId16" Type="http://schemas.openxmlformats.org/officeDocument/2006/relationships/hyperlink" Target="https://drive.google.com/file/d/1dieO8uN3M-iFSOmhqMXXtbuTgHbL3ulP/view?usp=sharing" TargetMode="External"/><Relationship Id="rId15" Type="http://schemas.openxmlformats.org/officeDocument/2006/relationships/hyperlink" Target="https://drive.google.com/file/d/1XPtwxeSBYs01oBAMZUnjIm5XckUSlS0R/view?usp=sharing" TargetMode="External"/><Relationship Id="rId14" Type="http://schemas.openxmlformats.org/officeDocument/2006/relationships/hyperlink" Target="https://drive.google.com/file/d/1KD4UnMTXRmw_HUIWb24N084jTGAb5ifL/view?usp=sharing" TargetMode="External"/><Relationship Id="rId13" Type="http://schemas.openxmlformats.org/officeDocument/2006/relationships/hyperlink" Target="https://drive.google.com/file/d/1xwznydImAckV_aLI_CRlk5KUjI_Xmqev/view?usp=sharing" TargetMode="External"/><Relationship Id="rId12" Type="http://schemas.openxmlformats.org/officeDocument/2006/relationships/hyperlink" Target="https://drive.google.com/file/d/1xFd7GG51PDvvn9VxwKuIwE9jd1Vto0tc/view?usp=sharing" TargetMode="External"/><Relationship Id="rId11" Type="http://schemas.openxmlformats.org/officeDocument/2006/relationships/hyperlink" Target="https://drive.google.com/file/d/1S90j5ofkzXFHbEmhdMwLkGR3HElwQ6p3/view?usp=sharing" TargetMode="External"/><Relationship Id="rId10" Type="http://schemas.openxmlformats.org/officeDocument/2006/relationships/hyperlink" Target="https://drive.google.com/file/d/1gjmFKnp_-xCCfjgh-ooeFVS3IVt9CZHv/view?usp=sharing" TargetMode="External"/><Relationship Id="rId1" Type="http://schemas.openxmlformats.org/officeDocument/2006/relationships/hyperlink" Target="https://drive.google.com/file/d/14mQfuA_PQA3rGA9z5SOFLPYhmLlCqow2/view?usp=sharing" TargetMode="Externa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kD2EFgpevIdMGweMZYL8ygirZIq7Hi1B/view?usp=sharing" TargetMode="External"/><Relationship Id="rId8" Type="http://schemas.openxmlformats.org/officeDocument/2006/relationships/hyperlink" Target="https://drive.google.com/file/d/1yc-MK5ld3kZUASurKMOz11YkVojRYnbd/view?usp=sharing" TargetMode="External"/><Relationship Id="rId7" Type="http://schemas.openxmlformats.org/officeDocument/2006/relationships/hyperlink" Target="https://drive.google.com/file/d/1CZoHp58pgSLkq871YD5HzTN8SqxgnTZy/view?usp=sharing" TargetMode="External"/><Relationship Id="rId6" Type="http://schemas.openxmlformats.org/officeDocument/2006/relationships/hyperlink" Target="https://drive.google.com/file/d/1GwLPHC0FZnqFCWwg4NeuE3zsvJ01S-SQ/view?usp=sharing" TargetMode="External"/><Relationship Id="rId5" Type="http://schemas.openxmlformats.org/officeDocument/2006/relationships/hyperlink" Target="https://drive.google.com/file/d/1uuLGcnXe-4yXKADda_B9-9LTGJ-2WFrQ/view?usp=sharing" TargetMode="External"/><Relationship Id="rId4" Type="http://schemas.openxmlformats.org/officeDocument/2006/relationships/hyperlink" Target="https://drive.google.com/file/d/1Q47UWd-DxKd9bGvmGvXF4ZcKWEpML9sx/view?usp=sharing" TargetMode="External"/><Relationship Id="rId3" Type="http://schemas.openxmlformats.org/officeDocument/2006/relationships/hyperlink" Target="https://drive.google.com/file/d/1hth-I6WS67IAah3JWX0riu7oiZQIbxAK/view?usp=sharing" TargetMode="External"/><Relationship Id="rId2" Type="http://schemas.openxmlformats.org/officeDocument/2006/relationships/hyperlink" Target="https://drive.google.com/file/d/1cOiFup-UwDhzaYM1asDxChiRbPG7N6Hs/view?usp=sharing" TargetMode="External"/><Relationship Id="rId18" Type="http://schemas.openxmlformats.org/officeDocument/2006/relationships/hyperlink" Target="https://drive.google.com/file/d/1D2khYVm_R8bbm_3qYDVpI9XF7iZkZQen/view?usp=sharing" TargetMode="External"/><Relationship Id="rId17" Type="http://schemas.openxmlformats.org/officeDocument/2006/relationships/hyperlink" Target="https://drive.google.com/file/d/1xRSd3MFlZANDvsSUIYeola7KxIoksbne/view?usp=sharing" TargetMode="External"/><Relationship Id="rId16" Type="http://schemas.openxmlformats.org/officeDocument/2006/relationships/hyperlink" Target="https://drive.google.com/file/d/1Z6qrypGyiOjb09QkVW1Q34-r9D3nU_NK/view?usp=sharing" TargetMode="External"/><Relationship Id="rId15" Type="http://schemas.openxmlformats.org/officeDocument/2006/relationships/hyperlink" Target="https://drive.google.com/file/d/1HNL6dHnBdUS9pWGfWB0UlEiIaqp9AATt/view?usp=sharing" TargetMode="External"/><Relationship Id="rId14" Type="http://schemas.openxmlformats.org/officeDocument/2006/relationships/hyperlink" Target="https://drive.google.com/file/d/1QC-kFUQOU162HesBGN9GuURPI_jzEKc9/view?usp=sharing" TargetMode="External"/><Relationship Id="rId13" Type="http://schemas.openxmlformats.org/officeDocument/2006/relationships/hyperlink" Target="https://drive.google.com/file/d/1kc2uclhuGrAQs_JIHy0YPShu8Tyq-298/view?usp=sharing" TargetMode="External"/><Relationship Id="rId12" Type="http://schemas.openxmlformats.org/officeDocument/2006/relationships/hyperlink" Target="https://drive.google.com/file/d/1yCsdenxU4xeCGABHRORcsz6yjOYoAqiS/view?usp=sharing" TargetMode="External"/><Relationship Id="rId11" Type="http://schemas.openxmlformats.org/officeDocument/2006/relationships/hyperlink" Target="https://drive.google.com/file/d/1gAkY-yA4gfmOaW0Z90VXR_AF0PMTwwuB/view?usp=sharing" TargetMode="External"/><Relationship Id="rId10" Type="http://schemas.openxmlformats.org/officeDocument/2006/relationships/hyperlink" Target="https://drive.google.com/file/d/1162cAZgkaGjZk1A7y9b8oTI5DiPbvr74/view?usp=sharing" TargetMode="External"/><Relationship Id="rId1" Type="http://schemas.openxmlformats.org/officeDocument/2006/relationships/hyperlink" Target="https://drive.google.com/file/d/1qUuSd03jcu2kGNszZjSlqWOgWS46ejS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8"/>
  <sheetViews>
    <sheetView workbookViewId="0">
      <selection activeCell="A1" sqref="A1"/>
    </sheetView>
  </sheetViews>
  <sheetFormatPr defaultColWidth="12.6296296296296" defaultRowHeight="15.75" customHeight="1" outlineLevelCol="7"/>
  <cols>
    <col min="2" max="2" width="15.5" customWidth="1"/>
    <col min="4" max="4" width="21" customWidth="1"/>
    <col min="5" max="5" width="57.8796296296296" customWidth="1"/>
    <col min="6" max="6" width="18.3796296296296" customWidth="1"/>
    <col min="7" max="7" width="23.5" customWidth="1"/>
    <col min="8" max="8" width="63.6296296296296" customWidth="1"/>
  </cols>
  <sheetData>
    <row r="1" customHeight="1" spans="1:8">
      <c r="A1" s="78"/>
      <c r="B1" s="78"/>
      <c r="C1" s="78"/>
      <c r="D1" s="78"/>
      <c r="E1" s="78"/>
      <c r="F1" s="78"/>
      <c r="G1" s="78"/>
      <c r="H1" s="78"/>
    </row>
    <row r="2" customHeight="1" spans="1:8">
      <c r="A2" s="79"/>
      <c r="B2" s="80" t="s">
        <v>0</v>
      </c>
      <c r="C2" s="79"/>
      <c r="D2" s="79"/>
      <c r="E2" s="79"/>
      <c r="F2" s="79"/>
      <c r="G2" s="79"/>
      <c r="H2" s="78"/>
    </row>
    <row r="3" customHeight="1" spans="1:8">
      <c r="A3" s="79"/>
      <c r="B3" s="81" t="s">
        <v>1</v>
      </c>
      <c r="C3" s="82">
        <v>46174</v>
      </c>
      <c r="D3" s="21"/>
      <c r="E3" s="79"/>
      <c r="F3" s="79"/>
      <c r="G3" s="79"/>
      <c r="H3" s="78"/>
    </row>
    <row r="4" customHeight="1" spans="1:8">
      <c r="A4" s="79"/>
      <c r="B4" s="81" t="s">
        <v>2</v>
      </c>
      <c r="C4" s="83">
        <v>46109</v>
      </c>
      <c r="D4" s="84"/>
      <c r="E4" s="79"/>
      <c r="F4" s="79"/>
      <c r="G4" s="79"/>
      <c r="H4" s="78"/>
    </row>
    <row r="5" customHeight="1" spans="1:8">
      <c r="A5" s="79"/>
      <c r="B5" s="81"/>
      <c r="C5" s="21"/>
      <c r="D5" s="21"/>
      <c r="E5" s="79"/>
      <c r="F5" s="79"/>
      <c r="G5" s="79"/>
      <c r="H5" s="78"/>
    </row>
    <row r="6" customHeight="1" spans="1:8">
      <c r="A6" s="79"/>
      <c r="B6" s="81" t="s">
        <v>3</v>
      </c>
      <c r="C6" s="24" t="s">
        <v>4</v>
      </c>
      <c r="D6" s="25"/>
      <c r="E6" s="26"/>
      <c r="F6" s="79"/>
      <c r="G6" s="79"/>
      <c r="H6" s="78"/>
    </row>
    <row r="7" customHeight="1" spans="1:8">
      <c r="A7" s="79"/>
      <c r="B7" s="81" t="s">
        <v>5</v>
      </c>
      <c r="C7" s="24" t="s">
        <v>6</v>
      </c>
      <c r="D7" s="25"/>
      <c r="E7" s="26"/>
      <c r="F7" s="79"/>
      <c r="G7" s="79"/>
      <c r="H7" s="78"/>
    </row>
    <row r="8" customHeight="1" spans="1:8">
      <c r="A8" s="79"/>
      <c r="B8" s="81"/>
      <c r="C8" s="79"/>
      <c r="D8" s="79"/>
      <c r="E8" s="79"/>
      <c r="F8" s="79"/>
      <c r="G8" s="79"/>
      <c r="H8" s="78"/>
    </row>
    <row r="9" customHeight="1" spans="1:8">
      <c r="A9" s="79"/>
      <c r="B9" s="3"/>
      <c r="C9" s="3"/>
      <c r="D9" s="3"/>
      <c r="E9" s="3"/>
      <c r="F9" s="79"/>
      <c r="G9" s="79"/>
      <c r="H9" s="78"/>
    </row>
    <row r="10" customHeight="1" spans="1:8">
      <c r="A10" s="78"/>
      <c r="B10" s="85" t="s">
        <v>7</v>
      </c>
      <c r="C10" s="78"/>
      <c r="D10" s="78"/>
      <c r="E10" s="78"/>
      <c r="F10" s="78"/>
      <c r="G10" s="78"/>
      <c r="H10" s="78"/>
    </row>
    <row r="11" customHeight="1" spans="1:8">
      <c r="A11" s="78"/>
      <c r="B11" s="86" t="s">
        <v>8</v>
      </c>
      <c r="C11" s="86" t="s">
        <v>9</v>
      </c>
      <c r="D11" s="86" t="s">
        <v>10</v>
      </c>
      <c r="E11" s="86" t="s">
        <v>11</v>
      </c>
      <c r="F11" s="86" t="s">
        <v>12</v>
      </c>
      <c r="G11" s="86" t="s">
        <v>13</v>
      </c>
      <c r="H11" s="86" t="s">
        <v>14</v>
      </c>
    </row>
    <row r="12" customHeight="1" spans="1:8">
      <c r="A12" s="78"/>
      <c r="B12" s="87">
        <v>46109</v>
      </c>
      <c r="C12" s="33" t="s">
        <v>15</v>
      </c>
      <c r="D12" s="33" t="s">
        <v>16</v>
      </c>
      <c r="E12" s="88" t="s">
        <v>17</v>
      </c>
      <c r="F12" s="33" t="s">
        <v>18</v>
      </c>
      <c r="G12" s="88" t="s">
        <v>19</v>
      </c>
      <c r="H12" s="89" t="s">
        <v>20</v>
      </c>
    </row>
    <row r="13" customHeight="1" spans="1:8">
      <c r="A13" s="78"/>
      <c r="B13" s="87">
        <v>46116</v>
      </c>
      <c r="C13" s="33" t="s">
        <v>21</v>
      </c>
      <c r="D13" s="33" t="s">
        <v>22</v>
      </c>
      <c r="E13" s="88" t="s">
        <v>23</v>
      </c>
      <c r="F13" s="33" t="s">
        <v>18</v>
      </c>
      <c r="G13" s="88" t="s">
        <v>19</v>
      </c>
      <c r="H13" s="89" t="s">
        <v>24</v>
      </c>
    </row>
    <row r="14" customHeight="1" spans="1:8">
      <c r="A14" s="78"/>
      <c r="B14" s="87">
        <v>46121</v>
      </c>
      <c r="C14" s="33" t="s">
        <v>25</v>
      </c>
      <c r="D14" s="90" t="s">
        <v>26</v>
      </c>
      <c r="E14" s="88" t="s">
        <v>27</v>
      </c>
      <c r="F14" s="33" t="s">
        <v>18</v>
      </c>
      <c r="G14" s="88" t="s">
        <v>19</v>
      </c>
      <c r="H14" s="89" t="s">
        <v>28</v>
      </c>
    </row>
    <row r="15" customHeight="1" spans="1:8">
      <c r="A15" s="78"/>
      <c r="B15" s="87">
        <v>46134</v>
      </c>
      <c r="C15" s="33" t="s">
        <v>29</v>
      </c>
      <c r="D15" s="33" t="s">
        <v>30</v>
      </c>
      <c r="E15" s="88" t="s">
        <v>31</v>
      </c>
      <c r="F15" s="33" t="s">
        <v>18</v>
      </c>
      <c r="G15" s="88" t="s">
        <v>19</v>
      </c>
      <c r="H15" s="89" t="s">
        <v>32</v>
      </c>
    </row>
    <row r="16" customHeight="1" spans="1:8">
      <c r="A16" s="3"/>
      <c r="B16" s="87">
        <v>46136</v>
      </c>
      <c r="C16" s="33" t="s">
        <v>33</v>
      </c>
      <c r="D16" s="33" t="s">
        <v>34</v>
      </c>
      <c r="E16" s="88" t="s">
        <v>35</v>
      </c>
      <c r="F16" s="33" t="s">
        <v>18</v>
      </c>
      <c r="G16" s="88" t="s">
        <v>19</v>
      </c>
      <c r="H16" s="89" t="s">
        <v>36</v>
      </c>
    </row>
    <row r="17" customHeight="1" spans="1:8">
      <c r="A17" s="3"/>
      <c r="B17" s="87">
        <v>46151</v>
      </c>
      <c r="C17" s="33" t="s">
        <v>37</v>
      </c>
      <c r="D17" s="33" t="s">
        <v>38</v>
      </c>
      <c r="E17" s="89" t="s">
        <v>39</v>
      </c>
      <c r="F17" s="33" t="s">
        <v>18</v>
      </c>
      <c r="G17" s="88" t="s">
        <v>19</v>
      </c>
      <c r="H17" s="89" t="s">
        <v>32</v>
      </c>
    </row>
    <row r="18" customHeight="1" spans="1:8">
      <c r="A18" s="78"/>
      <c r="B18" s="87">
        <v>46152</v>
      </c>
      <c r="C18" s="91">
        <v>46174</v>
      </c>
      <c r="D18" s="33" t="s">
        <v>40</v>
      </c>
      <c r="E18" s="89" t="s">
        <v>41</v>
      </c>
      <c r="F18" s="33" t="s">
        <v>18</v>
      </c>
      <c r="G18" s="89" t="s">
        <v>19</v>
      </c>
      <c r="H18" s="89" t="s">
        <v>42</v>
      </c>
    </row>
  </sheetData>
  <mergeCells count="2">
    <mergeCell ref="C6:E6"/>
    <mergeCell ref="C7:E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6"/>
  <sheetViews>
    <sheetView workbookViewId="0">
      <selection activeCell="A1" sqref="A1"/>
    </sheetView>
  </sheetViews>
  <sheetFormatPr defaultColWidth="12.6296296296296" defaultRowHeight="15.75" customHeight="1"/>
  <cols>
    <col min="1" max="1" width="13.25" customWidth="1"/>
    <col min="2" max="2" width="29.1296296296296" customWidth="1"/>
    <col min="3" max="3" width="84.8796296296296" customWidth="1"/>
    <col min="6" max="6" width="33" customWidth="1"/>
    <col min="7" max="7" width="32.5" customWidth="1"/>
    <col min="10" max="10" width="45.1296296296296" customWidth="1"/>
    <col min="11" max="11" width="13.6296296296296" customWidth="1"/>
    <col min="12" max="12" width="21.25" customWidth="1"/>
  </cols>
  <sheetData>
    <row r="1" customHeight="1" spans="1:12">
      <c r="A1" s="18" t="s">
        <v>0</v>
      </c>
      <c r="B1" s="19"/>
      <c r="E1" s="20"/>
      <c r="F1" s="20"/>
      <c r="G1" s="20"/>
      <c r="H1" s="20"/>
      <c r="I1" s="21"/>
      <c r="J1" s="20"/>
    </row>
    <row r="2" customHeight="1" spans="1:12">
      <c r="A2" s="20"/>
      <c r="B2" s="22"/>
      <c r="C2" s="22"/>
      <c r="D2" s="22"/>
      <c r="E2" s="20"/>
      <c r="F2" s="20"/>
      <c r="G2" s="20"/>
      <c r="H2" s="20"/>
      <c r="I2" s="21"/>
      <c r="J2" s="20"/>
    </row>
    <row r="3" customHeight="1" spans="1:12">
      <c r="A3" s="77" t="s">
        <v>43</v>
      </c>
      <c r="B3" s="24" t="s">
        <v>4</v>
      </c>
      <c r="C3" s="25"/>
      <c r="D3" s="26"/>
      <c r="E3" s="27"/>
      <c r="F3" s="27"/>
      <c r="G3" s="27"/>
      <c r="H3" s="28"/>
      <c r="I3" s="29"/>
      <c r="J3" s="29"/>
    </row>
    <row r="4" customHeight="1" spans="1:12">
      <c r="A4" s="23" t="s">
        <v>44</v>
      </c>
      <c r="B4" s="30" t="s">
        <v>45</v>
      </c>
      <c r="C4" s="25"/>
      <c r="D4" s="26"/>
      <c r="E4" s="27"/>
      <c r="F4" s="27"/>
      <c r="G4" s="27"/>
      <c r="H4" s="28"/>
      <c r="I4" s="29"/>
      <c r="J4" s="29"/>
    </row>
    <row r="5" customHeight="1" spans="1:12">
      <c r="A5" s="23" t="s">
        <v>46</v>
      </c>
      <c r="B5" s="24" t="s">
        <v>47</v>
      </c>
      <c r="C5" s="25"/>
      <c r="D5" s="26"/>
      <c r="E5" s="27"/>
      <c r="F5" s="27"/>
      <c r="G5" s="27"/>
      <c r="H5" s="28"/>
      <c r="I5" s="29"/>
      <c r="J5" s="29"/>
    </row>
    <row r="6" customHeight="1" spans="1:12">
      <c r="A6" s="31" t="s">
        <v>48</v>
      </c>
      <c r="B6" s="31">
        <v>8</v>
      </c>
      <c r="C6" s="32" t="s">
        <v>49</v>
      </c>
      <c r="D6" s="32">
        <v>0</v>
      </c>
      <c r="E6" s="28"/>
      <c r="F6" s="28"/>
      <c r="G6" s="28"/>
      <c r="H6" s="28"/>
      <c r="I6" s="29"/>
      <c r="J6" s="29"/>
    </row>
    <row r="7" customHeight="1" spans="1:12">
      <c r="A7" s="31" t="s">
        <v>50</v>
      </c>
      <c r="B7" s="31">
        <v>3</v>
      </c>
      <c r="C7" s="33" t="s">
        <v>51</v>
      </c>
      <c r="D7" s="32">
        <v>11</v>
      </c>
      <c r="E7" s="28"/>
      <c r="F7" s="28"/>
      <c r="G7" s="28"/>
      <c r="H7" s="28"/>
      <c r="I7" s="29"/>
      <c r="J7" s="29"/>
    </row>
    <row r="8" customHeight="1" spans="1:12">
      <c r="A8" s="34"/>
      <c r="B8" s="35"/>
      <c r="C8" s="35"/>
      <c r="D8" s="35"/>
      <c r="E8" s="28"/>
      <c r="F8" s="28"/>
      <c r="G8" s="28"/>
      <c r="H8" s="28"/>
      <c r="I8" s="36"/>
      <c r="J8" s="36"/>
    </row>
    <row r="9" customHeight="1" spans="1:12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  <c r="K9" s="40" t="s">
        <v>60</v>
      </c>
      <c r="L9" s="40" t="s">
        <v>61</v>
      </c>
    </row>
    <row r="10" customHeight="1" spans="1:12">
      <c r="A10" s="41"/>
      <c r="B10" s="41"/>
      <c r="C10" s="41"/>
      <c r="D10" s="42"/>
      <c r="E10" s="22"/>
      <c r="F10" s="22"/>
      <c r="G10" s="41"/>
      <c r="H10" s="41"/>
      <c r="I10" s="41"/>
      <c r="J10" s="41"/>
      <c r="K10" s="41"/>
      <c r="L10" s="41"/>
    </row>
    <row r="11" customHeight="1" spans="1:12">
      <c r="A11" s="43"/>
      <c r="B11" s="35"/>
      <c r="C11" s="35"/>
      <c r="D11" s="35"/>
      <c r="E11" s="35"/>
      <c r="F11" s="35"/>
      <c r="G11" s="25"/>
      <c r="H11" s="25"/>
      <c r="I11" s="25"/>
      <c r="J11" s="25"/>
      <c r="K11" s="25"/>
      <c r="L11" s="25"/>
    </row>
    <row r="12" customHeight="1" spans="1:12">
      <c r="A12" s="44" t="s">
        <v>62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customHeight="1" spans="1:12">
      <c r="A13" s="50" t="s">
        <v>63</v>
      </c>
      <c r="B13" s="45" t="s">
        <v>64</v>
      </c>
      <c r="C13" s="45" t="s">
        <v>65</v>
      </c>
      <c r="D13" s="55" t="s">
        <v>66</v>
      </c>
      <c r="E13" s="35"/>
      <c r="F13" s="35"/>
      <c r="G13" s="75" t="s">
        <v>67</v>
      </c>
      <c r="H13" s="49">
        <v>46109</v>
      </c>
      <c r="I13" s="50" t="s">
        <v>48</v>
      </c>
      <c r="J13" s="45" t="s">
        <v>68</v>
      </c>
      <c r="L13" s="45"/>
    </row>
    <row r="14" customHeight="1" spans="1:12">
      <c r="A14" s="44" t="s">
        <v>69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customHeight="1" spans="1:12">
      <c r="A15" s="50" t="s">
        <v>70</v>
      </c>
      <c r="B15" s="45" t="s">
        <v>71</v>
      </c>
      <c r="C15" s="45" t="s">
        <v>72</v>
      </c>
      <c r="D15" s="55" t="s">
        <v>73</v>
      </c>
      <c r="E15" s="35"/>
      <c r="F15" s="35"/>
      <c r="G15" s="75" t="s">
        <v>74</v>
      </c>
      <c r="H15" s="49">
        <v>46109</v>
      </c>
      <c r="I15" s="50" t="s">
        <v>50</v>
      </c>
      <c r="J15" s="45" t="s">
        <v>75</v>
      </c>
      <c r="K15" s="45" t="s">
        <v>48</v>
      </c>
      <c r="L15" s="58" t="s">
        <v>76</v>
      </c>
    </row>
    <row r="16" customHeight="1" spans="1:12">
      <c r="A16" s="50" t="s">
        <v>77</v>
      </c>
      <c r="B16" s="45" t="s">
        <v>78</v>
      </c>
      <c r="C16" s="45" t="s">
        <v>79</v>
      </c>
      <c r="D16" s="55" t="s">
        <v>80</v>
      </c>
      <c r="E16" s="35"/>
      <c r="F16" s="35"/>
      <c r="G16" s="75" t="s">
        <v>81</v>
      </c>
      <c r="H16" s="49">
        <v>46109</v>
      </c>
      <c r="I16" s="50" t="s">
        <v>48</v>
      </c>
      <c r="J16" s="45" t="s">
        <v>82</v>
      </c>
      <c r="K16" s="45"/>
      <c r="L16" s="45"/>
    </row>
    <row r="17" customHeight="1" spans="1:12">
      <c r="A17" s="50" t="s">
        <v>83</v>
      </c>
      <c r="B17" s="45" t="s">
        <v>84</v>
      </c>
      <c r="C17" s="45" t="s">
        <v>85</v>
      </c>
      <c r="D17" s="55" t="s">
        <v>86</v>
      </c>
      <c r="E17" s="35"/>
      <c r="F17" s="35"/>
      <c r="G17" s="75" t="s">
        <v>87</v>
      </c>
      <c r="H17" s="49">
        <v>46109</v>
      </c>
      <c r="I17" s="50" t="s">
        <v>50</v>
      </c>
      <c r="J17" s="45" t="s">
        <v>88</v>
      </c>
      <c r="K17" s="45" t="s">
        <v>48</v>
      </c>
      <c r="L17" s="58" t="s">
        <v>76</v>
      </c>
    </row>
    <row r="18" customHeight="1" spans="1:12">
      <c r="A18" s="50" t="s">
        <v>89</v>
      </c>
      <c r="B18" s="45" t="s">
        <v>90</v>
      </c>
      <c r="C18" s="45" t="s">
        <v>91</v>
      </c>
      <c r="D18" s="55" t="s">
        <v>92</v>
      </c>
      <c r="E18" s="35"/>
      <c r="F18" s="35"/>
      <c r="G18" s="75" t="s">
        <v>93</v>
      </c>
      <c r="H18" s="49">
        <v>46109</v>
      </c>
      <c r="I18" s="50" t="s">
        <v>50</v>
      </c>
      <c r="J18" s="45" t="s">
        <v>94</v>
      </c>
      <c r="K18" s="45" t="s">
        <v>48</v>
      </c>
      <c r="L18" s="58" t="s">
        <v>76</v>
      </c>
    </row>
    <row r="19" customHeight="1" spans="1:12">
      <c r="A19" s="50" t="s">
        <v>95</v>
      </c>
      <c r="B19" s="45" t="s">
        <v>96</v>
      </c>
      <c r="C19" s="45" t="s">
        <v>97</v>
      </c>
      <c r="D19" s="55" t="s">
        <v>98</v>
      </c>
      <c r="E19" s="35"/>
      <c r="F19" s="35"/>
      <c r="G19" s="75" t="s">
        <v>99</v>
      </c>
      <c r="H19" s="49">
        <v>46109</v>
      </c>
      <c r="I19" s="50" t="s">
        <v>48</v>
      </c>
      <c r="J19" s="45" t="s">
        <v>100</v>
      </c>
      <c r="K19" s="45"/>
      <c r="L19" s="45"/>
    </row>
    <row r="20" customHeight="1" spans="1:12">
      <c r="A20" s="44" t="s">
        <v>101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customHeight="1" spans="1:12">
      <c r="A21" s="50" t="s">
        <v>102</v>
      </c>
      <c r="B21" s="45" t="s">
        <v>103</v>
      </c>
      <c r="C21" s="45" t="s">
        <v>104</v>
      </c>
      <c r="D21" s="55" t="s">
        <v>105</v>
      </c>
      <c r="E21" s="35"/>
      <c r="F21" s="35"/>
      <c r="G21" s="75" t="s">
        <v>106</v>
      </c>
      <c r="H21" s="49">
        <v>46109</v>
      </c>
      <c r="I21" s="50" t="s">
        <v>48</v>
      </c>
      <c r="J21" s="45" t="s">
        <v>107</v>
      </c>
      <c r="K21" s="45"/>
      <c r="L21" s="45"/>
    </row>
    <row r="22" customHeight="1" spans="1:12">
      <c r="A22" s="50" t="s">
        <v>108</v>
      </c>
      <c r="B22" s="45" t="s">
        <v>109</v>
      </c>
      <c r="C22" s="45" t="s">
        <v>110</v>
      </c>
      <c r="D22" s="55" t="s">
        <v>111</v>
      </c>
      <c r="E22" s="35"/>
      <c r="F22" s="35"/>
      <c r="G22" s="75" t="s">
        <v>112</v>
      </c>
      <c r="H22" s="49">
        <v>46109</v>
      </c>
      <c r="I22" s="50" t="s">
        <v>48</v>
      </c>
      <c r="J22" s="45" t="s">
        <v>113</v>
      </c>
      <c r="K22" s="45"/>
      <c r="L22" s="45"/>
    </row>
    <row r="23" customHeight="1" spans="1:12">
      <c r="A23" s="50" t="s">
        <v>114</v>
      </c>
      <c r="B23" s="45" t="s">
        <v>115</v>
      </c>
      <c r="C23" s="45" t="s">
        <v>116</v>
      </c>
      <c r="D23" s="55" t="s">
        <v>117</v>
      </c>
      <c r="E23" s="35"/>
      <c r="F23" s="35"/>
      <c r="G23" s="75" t="s">
        <v>118</v>
      </c>
      <c r="H23" s="49">
        <v>46109</v>
      </c>
      <c r="I23" s="50" t="s">
        <v>48</v>
      </c>
      <c r="J23" s="45" t="s">
        <v>119</v>
      </c>
      <c r="K23" s="45"/>
      <c r="L23" s="45"/>
    </row>
    <row r="24" customHeight="1" spans="1:12">
      <c r="A24" s="50" t="s">
        <v>120</v>
      </c>
      <c r="B24" s="45" t="s">
        <v>121</v>
      </c>
      <c r="C24" s="45" t="s">
        <v>122</v>
      </c>
      <c r="D24" s="46" t="s">
        <v>123</v>
      </c>
      <c r="E24" s="47"/>
      <c r="F24" s="47"/>
      <c r="G24" s="58" t="s">
        <v>124</v>
      </c>
      <c r="H24" s="49">
        <v>46109</v>
      </c>
      <c r="I24" s="45" t="s">
        <v>48</v>
      </c>
      <c r="J24" s="45" t="s">
        <v>125</v>
      </c>
      <c r="K24" s="45"/>
      <c r="L24" s="45"/>
    </row>
    <row r="25" customHeight="1" spans="1:12">
      <c r="A25" s="44" t="s">
        <v>126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customHeight="1" spans="1:12">
      <c r="A26" s="50" t="s">
        <v>127</v>
      </c>
      <c r="B26" s="45" t="s">
        <v>128</v>
      </c>
      <c r="C26" s="45" t="s">
        <v>129</v>
      </c>
      <c r="D26" s="55" t="s">
        <v>130</v>
      </c>
      <c r="E26" s="35"/>
      <c r="F26" s="35"/>
      <c r="G26" s="75" t="s">
        <v>131</v>
      </c>
      <c r="H26" s="49">
        <v>46109</v>
      </c>
      <c r="I26" s="50" t="s">
        <v>48</v>
      </c>
      <c r="J26" s="45" t="s">
        <v>132</v>
      </c>
      <c r="K26" s="45"/>
      <c r="L26" s="45"/>
    </row>
  </sheetData>
  <mergeCells count="19">
    <mergeCell ref="B3:D3"/>
    <mergeCell ref="B4:D4"/>
    <mergeCell ref="B5:D5"/>
    <mergeCell ref="F11:L11"/>
    <mergeCell ref="A12:L12"/>
    <mergeCell ref="A14:L14"/>
    <mergeCell ref="A20:L20"/>
    <mergeCell ref="A25:L25"/>
    <mergeCell ref="A9:A10"/>
    <mergeCell ref="B9:B10"/>
    <mergeCell ref="C9:C10"/>
    <mergeCell ref="G9:G10"/>
    <mergeCell ref="H9:H10"/>
    <mergeCell ref="I9:I10"/>
    <mergeCell ref="J9:J10"/>
    <mergeCell ref="K9:K10"/>
    <mergeCell ref="L9:L10"/>
    <mergeCell ref="B1:D2"/>
    <mergeCell ref="D9:F10"/>
  </mergeCells>
  <hyperlinks>
    <hyperlink ref="A3" r:id="rId1" location="gid=0" display="https://docs.google.com/spreadsheets/d/1H0kBUBCjG8Yo2cHSmgkZvUed522hQ2V4T5Hsqj3oYzI/edit?gid=0#gid=0"/>
    <hyperlink ref="G13" r:id="rId2" display="TCAuth1.png"/>
    <hyperlink ref="G15" r:id="rId3" display="TCAuth2-1.png TCAuth2-2.png"/>
    <hyperlink ref="L15" r:id="rId4" display="TCAuthSauRetest.png"/>
    <hyperlink ref="G16" r:id="rId5" display="TCAuth3.png"/>
    <hyperlink ref="G17" r:id="rId6" display="TCAuth4-1.png TCAuth4-2.png"/>
    <hyperlink ref="L17" r:id="rId4" display="TCAuthSauRetest.png"/>
    <hyperlink ref="G18" r:id="rId7" display="TCAuth5-1.png TCAuth5-2.png"/>
    <hyperlink ref="L18" r:id="rId4" display="TCAuthSauRetest.png"/>
    <hyperlink ref="G19" r:id="rId8" display="TCAuth6.png"/>
    <hyperlink ref="G21" r:id="rId9" display="TCAuth7.png"/>
    <hyperlink ref="G22" r:id="rId10" display="TCAuth8-1.png TCAuth8-2.png"/>
    <hyperlink ref="G23" r:id="rId11" display="TCAuth9.png"/>
    <hyperlink ref="G24" r:id="rId12" display="TCAuth10.png"/>
    <hyperlink ref="G26" r:id="rId13" display="TCAuth11.png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2"/>
  <sheetViews>
    <sheetView workbookViewId="0">
      <selection activeCell="C11" sqref="C11"/>
    </sheetView>
  </sheetViews>
  <sheetFormatPr defaultColWidth="12.6296296296296" defaultRowHeight="15.75" customHeight="1"/>
  <cols>
    <col min="1" max="1" width="13.5" customWidth="1"/>
    <col min="2" max="2" width="42.25" customWidth="1"/>
    <col min="3" max="3" width="76.5" customWidth="1"/>
    <col min="6" max="6" width="46" customWidth="1"/>
    <col min="7" max="7" width="33.5" customWidth="1"/>
    <col min="10" max="10" width="30.6296296296296" customWidth="1"/>
    <col min="11" max="11" width="16.6296296296296" customWidth="1"/>
    <col min="12" max="12" width="24" customWidth="1"/>
  </cols>
  <sheetData>
    <row r="1" customHeight="1" spans="1:12">
      <c r="A1" s="18" t="s">
        <v>0</v>
      </c>
      <c r="B1" s="19"/>
      <c r="E1" s="20"/>
      <c r="F1" s="20"/>
      <c r="G1" s="20"/>
      <c r="H1" s="20"/>
      <c r="I1" s="21"/>
      <c r="J1" s="20"/>
    </row>
    <row r="2" customHeight="1" spans="1:12">
      <c r="A2" s="20"/>
      <c r="B2" s="22"/>
      <c r="C2" s="22"/>
      <c r="D2" s="22"/>
      <c r="E2" s="20"/>
      <c r="F2" s="20"/>
      <c r="G2" s="20"/>
      <c r="H2" s="20"/>
      <c r="I2" s="21"/>
      <c r="J2" s="20"/>
    </row>
    <row r="3" customHeight="1" spans="1:12">
      <c r="A3" s="23" t="s">
        <v>133</v>
      </c>
      <c r="B3" s="24" t="s">
        <v>4</v>
      </c>
      <c r="C3" s="25"/>
      <c r="D3" s="26"/>
      <c r="E3" s="27"/>
      <c r="F3" s="27"/>
      <c r="G3" s="27"/>
      <c r="H3" s="28"/>
      <c r="I3" s="29"/>
      <c r="J3" s="29"/>
    </row>
    <row r="4" customHeight="1" spans="1:12">
      <c r="A4" s="23" t="s">
        <v>44</v>
      </c>
      <c r="B4" s="30" t="s">
        <v>134</v>
      </c>
      <c r="C4" s="25"/>
      <c r="D4" s="26"/>
      <c r="E4" s="27"/>
      <c r="F4" s="27"/>
      <c r="G4" s="27"/>
      <c r="H4" s="28"/>
      <c r="I4" s="29"/>
      <c r="J4" s="29"/>
    </row>
    <row r="5" customHeight="1" spans="1:12">
      <c r="A5" s="23" t="s">
        <v>46</v>
      </c>
      <c r="B5" s="24" t="s">
        <v>135</v>
      </c>
      <c r="C5" s="25"/>
      <c r="D5" s="26"/>
      <c r="E5" s="27"/>
      <c r="F5" s="27"/>
      <c r="G5" s="27"/>
      <c r="H5" s="28"/>
      <c r="I5" s="29"/>
      <c r="J5" s="29"/>
    </row>
    <row r="6" customHeight="1" spans="1:12">
      <c r="A6" s="31" t="s">
        <v>48</v>
      </c>
      <c r="B6" s="31">
        <v>8</v>
      </c>
      <c r="C6" s="32" t="s">
        <v>49</v>
      </c>
      <c r="D6" s="32">
        <v>0</v>
      </c>
      <c r="E6" s="28"/>
      <c r="F6" s="28"/>
      <c r="G6" s="28"/>
      <c r="H6" s="28"/>
      <c r="I6" s="29"/>
      <c r="J6" s="29"/>
    </row>
    <row r="7" customHeight="1" spans="1:12">
      <c r="A7" s="31" t="s">
        <v>50</v>
      </c>
      <c r="B7" s="31">
        <v>1</v>
      </c>
      <c r="C7" s="33" t="s">
        <v>51</v>
      </c>
      <c r="D7" s="32">
        <v>9</v>
      </c>
      <c r="E7" s="28"/>
      <c r="F7" s="28"/>
      <c r="G7" s="28"/>
      <c r="H7" s="28"/>
      <c r="I7" s="29"/>
      <c r="J7" s="29"/>
    </row>
    <row r="8" customHeight="1" spans="1:12">
      <c r="A8" s="34"/>
      <c r="B8" s="35"/>
      <c r="C8" s="35"/>
      <c r="D8" s="35"/>
      <c r="E8" s="28"/>
      <c r="F8" s="28"/>
      <c r="G8" s="28"/>
      <c r="H8" s="28"/>
      <c r="I8" s="36"/>
      <c r="J8" s="36"/>
    </row>
    <row r="9" customHeight="1" spans="1:12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  <c r="K9" s="40" t="s">
        <v>60</v>
      </c>
      <c r="L9" s="40" t="s">
        <v>61</v>
      </c>
    </row>
    <row r="10" customHeight="1" spans="1:12">
      <c r="A10" s="41"/>
      <c r="B10" s="41"/>
      <c r="C10" s="41"/>
      <c r="D10" s="42"/>
      <c r="E10" s="22"/>
      <c r="F10" s="22"/>
      <c r="G10" s="41"/>
      <c r="H10" s="41"/>
      <c r="I10" s="41"/>
      <c r="J10" s="41"/>
      <c r="K10" s="41"/>
      <c r="L10" s="41"/>
    </row>
    <row r="11" customHeight="1" spans="1:12">
      <c r="A11" s="43"/>
      <c r="B11" s="35"/>
      <c r="C11" s="35"/>
      <c r="D11" s="35"/>
      <c r="E11" s="35"/>
      <c r="F11" s="35"/>
      <c r="G11" s="35"/>
      <c r="H11" s="35"/>
      <c r="I11" s="35"/>
      <c r="J11" s="35"/>
      <c r="K11" s="25"/>
      <c r="L11" s="26"/>
    </row>
    <row r="12" customHeight="1" spans="1:12">
      <c r="A12" s="44" t="s">
        <v>136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customHeight="1" spans="1:12">
      <c r="A13" s="45" t="s">
        <v>137</v>
      </c>
      <c r="B13" s="45" t="s">
        <v>138</v>
      </c>
      <c r="C13" s="45" t="s">
        <v>139</v>
      </c>
      <c r="D13" s="46" t="s">
        <v>140</v>
      </c>
      <c r="E13" s="47"/>
      <c r="F13" s="47"/>
      <c r="G13" s="75" t="s">
        <v>141</v>
      </c>
      <c r="H13" s="49">
        <v>46116</v>
      </c>
      <c r="I13" s="50" t="s">
        <v>50</v>
      </c>
      <c r="J13" s="45" t="s">
        <v>142</v>
      </c>
      <c r="K13" s="45" t="s">
        <v>48</v>
      </c>
      <c r="L13" s="58" t="s">
        <v>143</v>
      </c>
    </row>
    <row r="14" customHeight="1" spans="1:12">
      <c r="A14" s="45" t="s">
        <v>144</v>
      </c>
      <c r="B14" s="45" t="s">
        <v>145</v>
      </c>
      <c r="C14" s="45" t="s">
        <v>146</v>
      </c>
      <c r="D14" s="46" t="s">
        <v>147</v>
      </c>
      <c r="E14" s="47"/>
      <c r="F14" s="47"/>
      <c r="G14" s="75" t="s">
        <v>148</v>
      </c>
      <c r="H14" s="49">
        <v>46116</v>
      </c>
      <c r="I14" s="50" t="s">
        <v>48</v>
      </c>
      <c r="J14" s="45" t="s">
        <v>147</v>
      </c>
      <c r="K14" s="45"/>
      <c r="L14" s="45"/>
    </row>
    <row r="15" customHeight="1" spans="1:12">
      <c r="A15" s="45" t="s">
        <v>149</v>
      </c>
      <c r="B15" s="45" t="s">
        <v>150</v>
      </c>
      <c r="C15" s="45" t="s">
        <v>151</v>
      </c>
      <c r="D15" s="46" t="s">
        <v>152</v>
      </c>
      <c r="E15" s="47"/>
      <c r="F15" s="47"/>
      <c r="G15" s="75" t="s">
        <v>153</v>
      </c>
      <c r="H15" s="49">
        <v>46116</v>
      </c>
      <c r="I15" s="50" t="s">
        <v>48</v>
      </c>
      <c r="J15" s="45" t="s">
        <v>154</v>
      </c>
      <c r="K15" s="45"/>
      <c r="L15" s="45"/>
    </row>
    <row r="16" customHeight="1" spans="1:12">
      <c r="A16" s="45" t="s">
        <v>155</v>
      </c>
      <c r="B16" s="45" t="s">
        <v>156</v>
      </c>
      <c r="C16" s="45" t="s">
        <v>157</v>
      </c>
      <c r="D16" s="46" t="s">
        <v>158</v>
      </c>
      <c r="E16" s="47"/>
      <c r="F16" s="47"/>
      <c r="G16" s="75" t="s">
        <v>159</v>
      </c>
      <c r="H16" s="49">
        <v>46116</v>
      </c>
      <c r="I16" s="50" t="s">
        <v>48</v>
      </c>
      <c r="J16" s="45" t="s">
        <v>160</v>
      </c>
      <c r="K16" s="45"/>
      <c r="L16" s="45"/>
    </row>
    <row r="17" customHeight="1" spans="1:12">
      <c r="A17" s="45" t="s">
        <v>161</v>
      </c>
      <c r="B17" s="45" t="s">
        <v>162</v>
      </c>
      <c r="C17" s="45" t="s">
        <v>163</v>
      </c>
      <c r="D17" s="46" t="s">
        <v>164</v>
      </c>
      <c r="E17" s="47"/>
      <c r="F17" s="47"/>
      <c r="G17" s="75" t="s">
        <v>165</v>
      </c>
      <c r="H17" s="49">
        <v>46116</v>
      </c>
      <c r="I17" s="50" t="s">
        <v>48</v>
      </c>
      <c r="J17" s="45" t="s">
        <v>166</v>
      </c>
      <c r="K17" s="45"/>
      <c r="L17" s="45"/>
    </row>
    <row r="18" customHeight="1" spans="1:12">
      <c r="A18" s="45" t="s">
        <v>167</v>
      </c>
      <c r="B18" s="45" t="s">
        <v>168</v>
      </c>
      <c r="C18" s="45" t="s">
        <v>169</v>
      </c>
      <c r="D18" s="46" t="s">
        <v>170</v>
      </c>
      <c r="E18" s="47"/>
      <c r="F18" s="47"/>
      <c r="G18" s="48" t="s">
        <v>171</v>
      </c>
      <c r="H18" s="49">
        <v>46116</v>
      </c>
      <c r="I18" s="50" t="s">
        <v>48</v>
      </c>
      <c r="J18" s="45" t="s">
        <v>172</v>
      </c>
      <c r="K18" s="45"/>
      <c r="L18" s="45"/>
    </row>
    <row r="19" customHeight="1" spans="1:12">
      <c r="A19" s="45" t="s">
        <v>173</v>
      </c>
      <c r="B19" s="45" t="s">
        <v>174</v>
      </c>
      <c r="C19" s="45" t="s">
        <v>175</v>
      </c>
      <c r="D19" s="46" t="s">
        <v>176</v>
      </c>
      <c r="E19" s="47"/>
      <c r="F19" s="47"/>
      <c r="G19" s="48" t="s">
        <v>177</v>
      </c>
      <c r="H19" s="49">
        <v>46116</v>
      </c>
      <c r="I19" s="50" t="s">
        <v>48</v>
      </c>
      <c r="J19" s="45" t="s">
        <v>178</v>
      </c>
      <c r="K19" s="45"/>
      <c r="L19" s="45"/>
    </row>
    <row r="20" customHeight="1" spans="1:12">
      <c r="A20" s="44" t="s">
        <v>179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customHeight="1" spans="1:12">
      <c r="A21" s="45" t="s">
        <v>180</v>
      </c>
      <c r="B21" s="45" t="s">
        <v>181</v>
      </c>
      <c r="C21" s="45" t="s">
        <v>182</v>
      </c>
      <c r="D21" s="46" t="s">
        <v>183</v>
      </c>
      <c r="E21" s="47"/>
      <c r="F21" s="47"/>
      <c r="G21" s="75" t="s">
        <v>184</v>
      </c>
      <c r="H21" s="49">
        <v>46116</v>
      </c>
      <c r="I21" s="50" t="s">
        <v>48</v>
      </c>
      <c r="J21" s="45" t="s">
        <v>185</v>
      </c>
      <c r="K21" s="45"/>
      <c r="L21" s="45"/>
    </row>
    <row r="22" customHeight="1" spans="1:12">
      <c r="A22" s="45" t="s">
        <v>186</v>
      </c>
      <c r="B22" s="45" t="s">
        <v>187</v>
      </c>
      <c r="C22" s="45" t="s">
        <v>188</v>
      </c>
      <c r="D22" s="46" t="s">
        <v>189</v>
      </c>
      <c r="E22" s="47"/>
      <c r="F22" s="47"/>
      <c r="G22" s="76" t="s">
        <v>190</v>
      </c>
      <c r="H22" s="49">
        <v>46116</v>
      </c>
      <c r="I22" s="50" t="s">
        <v>48</v>
      </c>
      <c r="J22" s="45" t="s">
        <v>191</v>
      </c>
      <c r="K22" s="45"/>
      <c r="L22" s="45"/>
    </row>
  </sheetData>
  <mergeCells count="17">
    <mergeCell ref="B3:D3"/>
    <mergeCell ref="B4:D4"/>
    <mergeCell ref="B5:D5"/>
    <mergeCell ref="J11:L11"/>
    <mergeCell ref="A12:L12"/>
    <mergeCell ref="A20:L20"/>
    <mergeCell ref="A9:A10"/>
    <mergeCell ref="B9:B10"/>
    <mergeCell ref="C9:C10"/>
    <mergeCell ref="G9:G10"/>
    <mergeCell ref="H9:H10"/>
    <mergeCell ref="I9:I10"/>
    <mergeCell ref="J9:J10"/>
    <mergeCell ref="K9:K10"/>
    <mergeCell ref="L9:L10"/>
    <mergeCell ref="B1:D2"/>
    <mergeCell ref="D9:F10"/>
  </mergeCells>
  <hyperlinks>
    <hyperlink ref="G13" r:id="rId1" display="TCUser1-1.pngTCUser1-2.png "/>
    <hyperlink ref="L13" r:id="rId2" display="TCUser1SauRestest.png"/>
    <hyperlink ref="G14" r:id="rId3" display="TCUser2.png"/>
    <hyperlink ref="G15" r:id="rId4" display="TCUser3.png"/>
    <hyperlink ref="G16" r:id="rId5" display="TCUser4.png"/>
    <hyperlink ref="G17" r:id="rId6" display="TCUser5.png"/>
    <hyperlink ref="G18" r:id="rId7" display="TCUser6.png"/>
    <hyperlink ref="G19" r:id="rId8" display="TCUser7.png"/>
    <hyperlink ref="G21" r:id="rId9" display="TCUser8.png"/>
    <hyperlink ref="G22" r:id="rId10" display="TCUser9.png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9"/>
  <sheetViews>
    <sheetView workbookViewId="0">
      <selection activeCell="A1" sqref="A1"/>
    </sheetView>
  </sheetViews>
  <sheetFormatPr defaultColWidth="12.6296296296296" defaultRowHeight="15.75" customHeight="1"/>
  <cols>
    <col min="2" max="2" width="41.5" customWidth="1"/>
    <col min="3" max="3" width="64" customWidth="1"/>
    <col min="6" max="6" width="43.6296296296296" customWidth="1"/>
    <col min="7" max="7" width="30.6296296296296" customWidth="1"/>
    <col min="10" max="10" width="53.75" customWidth="1"/>
    <col min="11" max="11" width="16.3796296296296" customWidth="1"/>
    <col min="12" max="12" width="45.25" customWidth="1"/>
  </cols>
  <sheetData>
    <row r="1" customHeight="1" spans="1:12">
      <c r="A1" s="18" t="s">
        <v>0</v>
      </c>
      <c r="B1" s="19"/>
      <c r="E1" s="20"/>
      <c r="F1" s="20"/>
      <c r="G1" s="20"/>
      <c r="H1" s="20"/>
      <c r="I1" s="21"/>
      <c r="J1" s="20"/>
    </row>
    <row r="2" customHeight="1" spans="1:12">
      <c r="A2" s="20"/>
      <c r="B2" s="22"/>
      <c r="C2" s="22"/>
      <c r="D2" s="22"/>
      <c r="E2" s="20"/>
      <c r="F2" s="20"/>
      <c r="G2" s="20"/>
      <c r="H2" s="20"/>
      <c r="I2" s="21"/>
      <c r="J2" s="20"/>
    </row>
    <row r="3" customHeight="1" spans="1:12">
      <c r="A3" s="23" t="s">
        <v>133</v>
      </c>
      <c r="B3" s="24" t="s">
        <v>4</v>
      </c>
      <c r="C3" s="25"/>
      <c r="D3" s="26"/>
      <c r="E3" s="27"/>
      <c r="F3" s="27"/>
      <c r="G3" s="27"/>
      <c r="H3" s="28"/>
      <c r="I3" s="29"/>
      <c r="J3" s="29"/>
    </row>
    <row r="4" customHeight="1" spans="1:12">
      <c r="A4" s="23" t="s">
        <v>44</v>
      </c>
      <c r="B4" s="30" t="s">
        <v>192</v>
      </c>
      <c r="C4" s="25"/>
      <c r="D4" s="26"/>
      <c r="E4" s="27"/>
      <c r="F4" s="27"/>
      <c r="G4" s="27"/>
      <c r="H4" s="28"/>
      <c r="I4" s="29"/>
      <c r="J4" s="29"/>
    </row>
    <row r="5" customHeight="1" spans="1:12">
      <c r="A5" s="23" t="s">
        <v>46</v>
      </c>
      <c r="B5" s="24" t="s">
        <v>193</v>
      </c>
      <c r="C5" s="25"/>
      <c r="D5" s="26"/>
      <c r="E5" s="27"/>
      <c r="F5" s="27"/>
      <c r="G5" s="27"/>
      <c r="H5" s="28"/>
      <c r="I5" s="29"/>
      <c r="J5" s="29"/>
    </row>
    <row r="6" customHeight="1" spans="1:12">
      <c r="A6" s="31" t="s">
        <v>48</v>
      </c>
      <c r="B6" s="31">
        <v>5</v>
      </c>
      <c r="C6" s="32" t="s">
        <v>49</v>
      </c>
      <c r="D6" s="32">
        <v>0</v>
      </c>
      <c r="E6" s="28"/>
      <c r="F6" s="28"/>
      <c r="G6" s="28"/>
      <c r="H6" s="28"/>
      <c r="I6" s="29"/>
      <c r="J6" s="29"/>
    </row>
    <row r="7" customHeight="1" spans="1:12">
      <c r="A7" s="31" t="s">
        <v>50</v>
      </c>
      <c r="B7" s="31">
        <v>1</v>
      </c>
      <c r="C7" s="33" t="s">
        <v>51</v>
      </c>
      <c r="D7" s="32">
        <v>6</v>
      </c>
      <c r="E7" s="28"/>
      <c r="F7" s="28"/>
      <c r="G7" s="28"/>
      <c r="H7" s="28"/>
      <c r="I7" s="29"/>
      <c r="J7" s="29"/>
    </row>
    <row r="8" customHeight="1" spans="1:12">
      <c r="A8" s="34"/>
      <c r="B8" s="35"/>
      <c r="C8" s="35"/>
      <c r="D8" s="35"/>
      <c r="E8" s="28"/>
      <c r="F8" s="28"/>
      <c r="G8" s="28"/>
      <c r="H8" s="28"/>
      <c r="I8" s="36"/>
      <c r="J8" s="36"/>
    </row>
    <row r="9" customHeight="1" spans="1:12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  <c r="K9" s="40" t="s">
        <v>60</v>
      </c>
      <c r="L9" s="40" t="s">
        <v>61</v>
      </c>
    </row>
    <row r="10" customHeight="1" spans="1:12">
      <c r="A10" s="41"/>
      <c r="B10" s="41"/>
      <c r="C10" s="41"/>
      <c r="D10" s="42"/>
      <c r="E10" s="22"/>
      <c r="F10" s="22"/>
      <c r="G10" s="41"/>
      <c r="H10" s="41"/>
      <c r="I10" s="41"/>
      <c r="J10" s="41"/>
      <c r="K10" s="41"/>
      <c r="L10" s="41"/>
    </row>
    <row r="11" customHeight="1" spans="1:12">
      <c r="A11" s="43"/>
      <c r="B11" s="35"/>
      <c r="C11" s="35"/>
      <c r="D11" s="35"/>
      <c r="E11" s="35"/>
      <c r="F11" s="35"/>
      <c r="G11" s="35"/>
      <c r="H11" s="35"/>
      <c r="I11" s="35"/>
      <c r="J11" s="25"/>
      <c r="K11" s="25"/>
      <c r="L11" s="25"/>
    </row>
    <row r="12" customHeight="1" spans="1:12">
      <c r="A12" s="44" t="s">
        <v>194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customHeight="1" spans="1:12">
      <c r="A13" s="45" t="s">
        <v>195</v>
      </c>
      <c r="B13" s="45" t="s">
        <v>196</v>
      </c>
      <c r="C13" s="45" t="s">
        <v>197</v>
      </c>
      <c r="D13" s="46" t="s">
        <v>198</v>
      </c>
      <c r="E13" s="47"/>
      <c r="F13" s="47"/>
      <c r="G13" s="48" t="s">
        <v>199</v>
      </c>
      <c r="H13" s="49">
        <v>46116</v>
      </c>
      <c r="I13" s="50" t="s">
        <v>48</v>
      </c>
      <c r="J13" s="50" t="s">
        <v>200</v>
      </c>
      <c r="K13" s="50"/>
      <c r="L13" s="50"/>
    </row>
    <row r="14" customHeight="1" spans="1:12">
      <c r="A14" s="45" t="s">
        <v>201</v>
      </c>
      <c r="B14" s="45" t="s">
        <v>202</v>
      </c>
      <c r="C14" s="45" t="s">
        <v>203</v>
      </c>
      <c r="D14" s="46" t="s">
        <v>204</v>
      </c>
      <c r="E14" s="47"/>
      <c r="F14" s="47"/>
      <c r="G14" s="48" t="s">
        <v>205</v>
      </c>
      <c r="H14" s="49">
        <v>46116</v>
      </c>
      <c r="I14" s="50" t="s">
        <v>48</v>
      </c>
      <c r="J14" s="50" t="s">
        <v>206</v>
      </c>
      <c r="K14" s="50"/>
      <c r="L14" s="50"/>
    </row>
    <row r="15" customHeight="1" spans="1:12">
      <c r="A15" s="45" t="s">
        <v>207</v>
      </c>
      <c r="B15" s="45" t="s">
        <v>208</v>
      </c>
      <c r="C15" s="45" t="s">
        <v>209</v>
      </c>
      <c r="D15" s="46" t="s">
        <v>210</v>
      </c>
      <c r="E15" s="47"/>
      <c r="F15" s="47"/>
      <c r="G15" s="48" t="s">
        <v>211</v>
      </c>
      <c r="H15" s="49">
        <v>46116</v>
      </c>
      <c r="I15" s="50" t="s">
        <v>48</v>
      </c>
      <c r="J15" s="50" t="s">
        <v>212</v>
      </c>
      <c r="K15" s="50"/>
      <c r="L15" s="50"/>
    </row>
    <row r="16" customHeight="1" spans="1:12">
      <c r="A16" s="44" t="s">
        <v>213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customHeight="1" spans="1:12">
      <c r="A17" s="45" t="s">
        <v>214</v>
      </c>
      <c r="B17" s="45" t="s">
        <v>215</v>
      </c>
      <c r="C17" s="45" t="s">
        <v>216</v>
      </c>
      <c r="D17" s="46" t="s">
        <v>217</v>
      </c>
      <c r="E17" s="47"/>
      <c r="F17" s="47"/>
      <c r="G17" s="48" t="s">
        <v>218</v>
      </c>
      <c r="H17" s="49">
        <v>46116</v>
      </c>
      <c r="I17" s="50" t="s">
        <v>48</v>
      </c>
      <c r="J17" s="50" t="s">
        <v>219</v>
      </c>
      <c r="K17" s="50"/>
      <c r="L17" s="50"/>
    </row>
    <row r="18" customHeight="1" spans="1:12">
      <c r="A18" s="45" t="s">
        <v>220</v>
      </c>
      <c r="B18" s="45" t="s">
        <v>221</v>
      </c>
      <c r="C18" s="45" t="s">
        <v>222</v>
      </c>
      <c r="D18" s="46" t="s">
        <v>223</v>
      </c>
      <c r="E18" s="47"/>
      <c r="F18" s="47"/>
      <c r="G18" s="48" t="s">
        <v>224</v>
      </c>
      <c r="H18" s="49">
        <v>46116</v>
      </c>
      <c r="I18" s="50" t="s">
        <v>50</v>
      </c>
      <c r="J18" s="50" t="s">
        <v>225</v>
      </c>
      <c r="K18" s="50" t="s">
        <v>48</v>
      </c>
      <c r="L18" s="48" t="s">
        <v>226</v>
      </c>
    </row>
    <row r="19" customHeight="1" spans="1:12">
      <c r="A19" s="45" t="s">
        <v>227</v>
      </c>
      <c r="B19" s="45" t="s">
        <v>228</v>
      </c>
      <c r="C19" s="45" t="s">
        <v>229</v>
      </c>
      <c r="D19" s="46" t="s">
        <v>230</v>
      </c>
      <c r="E19" s="47"/>
      <c r="F19" s="47"/>
      <c r="G19" s="48" t="s">
        <v>231</v>
      </c>
      <c r="H19" s="49">
        <v>46116</v>
      </c>
      <c r="I19" s="50" t="s">
        <v>48</v>
      </c>
      <c r="J19" s="50" t="s">
        <v>232</v>
      </c>
      <c r="K19" s="50"/>
      <c r="L19" s="50"/>
    </row>
  </sheetData>
  <mergeCells count="17">
    <mergeCell ref="B3:D3"/>
    <mergeCell ref="B4:D4"/>
    <mergeCell ref="B5:D5"/>
    <mergeCell ref="I11:L11"/>
    <mergeCell ref="A12:L12"/>
    <mergeCell ref="A16:L16"/>
    <mergeCell ref="A9:A10"/>
    <mergeCell ref="B9:B10"/>
    <mergeCell ref="C9:C10"/>
    <mergeCell ref="G9:G10"/>
    <mergeCell ref="H9:H10"/>
    <mergeCell ref="I9:I10"/>
    <mergeCell ref="J9:J10"/>
    <mergeCell ref="K9:K10"/>
    <mergeCell ref="L9:L10"/>
    <mergeCell ref="B1:D2"/>
    <mergeCell ref="D9:F10"/>
  </mergeCells>
  <hyperlinks>
    <hyperlink ref="G13" r:id="rId1" display="TCOrd1.png"/>
    <hyperlink ref="G14" r:id="rId2" display="TCOrd2.png"/>
    <hyperlink ref="G15" r:id="rId3" display="TCOrd3.png"/>
    <hyperlink ref="G17" r:id="rId4" display="TCOrd4-1.png TCOrd4-2.png"/>
    <hyperlink ref="G18" r:id="rId5" display="TCOrd5-1.png TCOrd5-2.png"/>
    <hyperlink ref="L18" r:id="rId6" display="TCOrd5-1SauRetest.png TCOrd5-2SauRetest.png"/>
    <hyperlink ref="G19" r:id="rId7" display="TCOrd6.png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1"/>
  <sheetViews>
    <sheetView tabSelected="1" topLeftCell="A13" workbookViewId="0">
      <selection activeCell="A30" sqref="A30"/>
    </sheetView>
  </sheetViews>
  <sheetFormatPr defaultColWidth="12.6296296296296" defaultRowHeight="15.75" customHeight="1"/>
  <cols>
    <col min="2" max="2" width="56.6296296296296" customWidth="1"/>
    <col min="3" max="3" width="98.1296296296296" customWidth="1"/>
    <col min="6" max="6" width="35.75" customWidth="1"/>
    <col min="7" max="7" width="16.8796296296296" customWidth="1"/>
    <col min="9" max="9" width="9" customWidth="1"/>
    <col min="10" max="10" width="67.25" customWidth="1"/>
    <col min="11" max="11" width="17" customWidth="1"/>
    <col min="12" max="12" width="45.6296296296296" customWidth="1"/>
  </cols>
  <sheetData>
    <row r="1" customHeight="1" spans="1:12">
      <c r="A1" s="18" t="s">
        <v>0</v>
      </c>
      <c r="B1" s="19"/>
      <c r="E1" s="20"/>
      <c r="F1" s="20"/>
      <c r="G1" s="20"/>
      <c r="H1" s="20"/>
      <c r="I1" s="21"/>
      <c r="J1" s="20"/>
    </row>
    <row r="2" customHeight="1" spans="1:12">
      <c r="A2" s="20"/>
      <c r="B2" s="22"/>
      <c r="C2" s="22"/>
      <c r="D2" s="22"/>
      <c r="E2" s="20"/>
      <c r="F2" s="20"/>
      <c r="G2" s="20"/>
      <c r="H2" s="20"/>
      <c r="I2" s="21"/>
      <c r="J2" s="20"/>
    </row>
    <row r="3" customHeight="1" spans="1:12">
      <c r="A3" s="23" t="s">
        <v>133</v>
      </c>
      <c r="B3" s="24" t="s">
        <v>4</v>
      </c>
      <c r="C3" s="25"/>
      <c r="D3" s="26"/>
      <c r="E3" s="27"/>
      <c r="F3" s="27"/>
      <c r="G3" s="27"/>
      <c r="H3" s="28"/>
      <c r="I3" s="29"/>
      <c r="J3" s="29"/>
    </row>
    <row r="4" customHeight="1" spans="1:12">
      <c r="A4" s="23" t="s">
        <v>44</v>
      </c>
      <c r="B4" s="30" t="s">
        <v>233</v>
      </c>
      <c r="C4" s="25"/>
      <c r="D4" s="26"/>
      <c r="E4" s="27"/>
      <c r="F4" s="27"/>
      <c r="G4" s="27"/>
      <c r="H4" s="28"/>
      <c r="I4" s="29"/>
      <c r="J4" s="29"/>
    </row>
    <row r="5" customHeight="1" spans="1:12">
      <c r="A5" s="23" t="s">
        <v>46</v>
      </c>
      <c r="B5" s="24" t="s">
        <v>234</v>
      </c>
      <c r="C5" s="25"/>
      <c r="D5" s="26"/>
      <c r="E5" s="27"/>
      <c r="F5" s="27"/>
      <c r="G5" s="27"/>
      <c r="H5" s="28"/>
      <c r="I5" s="29"/>
      <c r="J5" s="29"/>
    </row>
    <row r="6" customHeight="1" spans="1:12">
      <c r="A6" s="31" t="s">
        <v>48</v>
      </c>
      <c r="B6" s="31">
        <v>4</v>
      </c>
      <c r="C6" s="32" t="s">
        <v>49</v>
      </c>
      <c r="D6" s="32">
        <v>0</v>
      </c>
      <c r="E6" s="28"/>
      <c r="F6" s="28"/>
      <c r="G6" s="28"/>
      <c r="H6" s="28"/>
      <c r="I6" s="29"/>
      <c r="J6" s="29"/>
    </row>
    <row r="7" customHeight="1" spans="1:12">
      <c r="A7" s="31" t="s">
        <v>50</v>
      </c>
      <c r="B7" s="31">
        <v>8</v>
      </c>
      <c r="C7" s="33" t="s">
        <v>51</v>
      </c>
      <c r="D7" s="32">
        <v>12</v>
      </c>
      <c r="E7" s="28"/>
      <c r="F7" s="28"/>
      <c r="G7" s="28"/>
      <c r="H7" s="28"/>
      <c r="I7" s="29"/>
      <c r="J7" s="29"/>
    </row>
    <row r="8" customHeight="1" spans="1:12">
      <c r="A8" s="34"/>
      <c r="B8" s="35"/>
      <c r="C8" s="35"/>
      <c r="D8" s="35"/>
      <c r="E8" s="28"/>
      <c r="F8" s="28"/>
      <c r="G8" s="28"/>
      <c r="H8" s="28"/>
      <c r="I8" s="36"/>
      <c r="J8" s="36"/>
    </row>
    <row r="9" customHeight="1" spans="1:12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  <c r="K9" s="40" t="s">
        <v>60</v>
      </c>
      <c r="L9" s="40" t="s">
        <v>61</v>
      </c>
    </row>
    <row r="10" customHeight="1" spans="1:12">
      <c r="A10" s="41"/>
      <c r="B10" s="41"/>
      <c r="C10" s="41"/>
      <c r="D10" s="42"/>
      <c r="E10" s="22"/>
      <c r="F10" s="22"/>
      <c r="G10" s="41"/>
      <c r="H10" s="41"/>
      <c r="I10" s="41"/>
      <c r="J10" s="41"/>
      <c r="K10" s="41"/>
      <c r="L10" s="41"/>
    </row>
    <row r="11" customHeight="1" spans="1:12">
      <c r="A11" s="43"/>
      <c r="B11" s="35"/>
      <c r="C11" s="35"/>
      <c r="D11" s="35"/>
      <c r="E11" s="35"/>
      <c r="F11" s="35"/>
      <c r="G11" s="35"/>
      <c r="H11" s="35"/>
      <c r="I11" s="35"/>
      <c r="J11" s="73"/>
      <c r="K11" s="73"/>
      <c r="L11" s="73"/>
    </row>
    <row r="12" customHeight="1" spans="1:12">
      <c r="A12" s="44" t="s">
        <v>235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customHeight="1" spans="1:12">
      <c r="A13" s="45" t="s">
        <v>236</v>
      </c>
      <c r="B13" s="45" t="s">
        <v>237</v>
      </c>
      <c r="C13" s="45" t="s">
        <v>238</v>
      </c>
      <c r="D13" s="46" t="s">
        <v>239</v>
      </c>
      <c r="E13" s="47"/>
      <c r="F13" s="47"/>
      <c r="G13" s="48" t="s">
        <v>240</v>
      </c>
      <c r="H13" s="49">
        <v>46109</v>
      </c>
      <c r="I13" s="50" t="s">
        <v>48</v>
      </c>
      <c r="J13" s="45" t="s">
        <v>239</v>
      </c>
      <c r="K13" s="45"/>
      <c r="L13" s="45"/>
    </row>
    <row r="14" customHeight="1" spans="1:12">
      <c r="A14" s="45" t="s">
        <v>241</v>
      </c>
      <c r="B14" s="45" t="s">
        <v>242</v>
      </c>
      <c r="C14" s="45" t="s">
        <v>243</v>
      </c>
      <c r="D14" s="46" t="s">
        <v>244</v>
      </c>
      <c r="E14" s="47"/>
      <c r="F14" s="47"/>
      <c r="G14" s="48" t="s">
        <v>245</v>
      </c>
      <c r="H14" s="49">
        <v>46109</v>
      </c>
      <c r="I14" s="50" t="s">
        <v>48</v>
      </c>
      <c r="J14" s="45" t="s">
        <v>246</v>
      </c>
      <c r="K14" s="45"/>
      <c r="L14" s="45"/>
    </row>
    <row r="15" customHeight="1" spans="1:12">
      <c r="A15" s="44" t="s">
        <v>247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customHeight="1" spans="1:12">
      <c r="A16" s="45" t="s">
        <v>248</v>
      </c>
      <c r="B16" s="45" t="s">
        <v>249</v>
      </c>
      <c r="C16" s="45" t="s">
        <v>250</v>
      </c>
      <c r="D16" s="46" t="s">
        <v>251</v>
      </c>
      <c r="E16" s="47"/>
      <c r="F16" s="47"/>
      <c r="G16" s="48" t="s">
        <v>252</v>
      </c>
      <c r="H16" s="49">
        <v>46109</v>
      </c>
      <c r="I16" s="50" t="s">
        <v>50</v>
      </c>
      <c r="J16" s="50" t="s">
        <v>253</v>
      </c>
      <c r="K16" s="50" t="s">
        <v>48</v>
      </c>
      <c r="L16" s="48" t="s">
        <v>254</v>
      </c>
    </row>
    <row r="17" customHeight="1" spans="1:12">
      <c r="A17" s="45" t="s">
        <v>255</v>
      </c>
      <c r="B17" s="45" t="s">
        <v>256</v>
      </c>
      <c r="C17" s="45" t="s">
        <v>257</v>
      </c>
      <c r="D17" s="46" t="s">
        <v>258</v>
      </c>
      <c r="E17" s="47"/>
      <c r="F17" s="47"/>
      <c r="G17" s="48" t="s">
        <v>259</v>
      </c>
      <c r="H17" s="49">
        <v>46109</v>
      </c>
      <c r="I17" s="50" t="s">
        <v>48</v>
      </c>
      <c r="J17" s="50" t="s">
        <v>260</v>
      </c>
      <c r="K17" s="50"/>
      <c r="L17" s="50"/>
    </row>
    <row r="18" customHeight="1" spans="1:12">
      <c r="A18" s="45" t="s">
        <v>261</v>
      </c>
      <c r="B18" s="45" t="s">
        <v>262</v>
      </c>
      <c r="C18" s="45" t="s">
        <v>263</v>
      </c>
      <c r="D18" s="46" t="s">
        <v>264</v>
      </c>
      <c r="E18" s="47"/>
      <c r="F18" s="47"/>
      <c r="G18" s="48" t="s">
        <v>265</v>
      </c>
      <c r="H18" s="49">
        <v>46109</v>
      </c>
      <c r="I18" s="50" t="s">
        <v>50</v>
      </c>
      <c r="J18" s="50" t="s">
        <v>266</v>
      </c>
      <c r="K18" s="50" t="s">
        <v>48</v>
      </c>
      <c r="L18" s="48" t="s">
        <v>267</v>
      </c>
    </row>
    <row r="19" customHeight="1" spans="1:12">
      <c r="A19" s="44" t="s">
        <v>268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customHeight="1" spans="1:12">
      <c r="A20" s="45" t="s">
        <v>269</v>
      </c>
      <c r="B20" s="45" t="s">
        <v>270</v>
      </c>
      <c r="C20" s="45" t="s">
        <v>270</v>
      </c>
      <c r="D20" s="46" t="s">
        <v>271</v>
      </c>
      <c r="E20" s="47"/>
      <c r="F20" s="47"/>
      <c r="G20" s="48" t="s">
        <v>272</v>
      </c>
      <c r="H20" s="49">
        <v>46109</v>
      </c>
      <c r="I20" s="50" t="s">
        <v>50</v>
      </c>
      <c r="J20" s="50" t="s">
        <v>273</v>
      </c>
      <c r="K20" s="50" t="s">
        <v>48</v>
      </c>
      <c r="L20" s="48" t="s">
        <v>274</v>
      </c>
    </row>
    <row r="21" customHeight="1" spans="1:12">
      <c r="A21" s="45" t="s">
        <v>275</v>
      </c>
      <c r="B21" s="45" t="s">
        <v>276</v>
      </c>
      <c r="C21" s="45" t="s">
        <v>277</v>
      </c>
      <c r="D21" s="46" t="s">
        <v>278</v>
      </c>
      <c r="E21" s="47"/>
      <c r="F21" s="47"/>
      <c r="G21" s="48" t="s">
        <v>279</v>
      </c>
      <c r="H21" s="49">
        <v>46109</v>
      </c>
      <c r="I21" s="50" t="s">
        <v>50</v>
      </c>
      <c r="J21" s="50" t="s">
        <v>280</v>
      </c>
      <c r="K21" s="50" t="s">
        <v>48</v>
      </c>
      <c r="L21" s="48" t="s">
        <v>281</v>
      </c>
    </row>
    <row r="22" customHeight="1" spans="1:12">
      <c r="A22" s="45" t="s">
        <v>282</v>
      </c>
      <c r="B22" s="45" t="s">
        <v>283</v>
      </c>
      <c r="C22" s="45" t="s">
        <v>284</v>
      </c>
      <c r="D22" s="46" t="s">
        <v>285</v>
      </c>
      <c r="E22" s="47"/>
      <c r="F22" s="47"/>
      <c r="G22" s="48" t="s">
        <v>286</v>
      </c>
      <c r="H22" s="49">
        <v>46109</v>
      </c>
      <c r="I22" s="50" t="s">
        <v>50</v>
      </c>
      <c r="J22" s="50" t="s">
        <v>287</v>
      </c>
      <c r="K22" s="50" t="s">
        <v>48</v>
      </c>
      <c r="L22" s="48" t="s">
        <v>288</v>
      </c>
    </row>
    <row r="23" customHeight="1" spans="1:12">
      <c r="A23" s="45" t="s">
        <v>289</v>
      </c>
      <c r="B23" s="45" t="s">
        <v>290</v>
      </c>
      <c r="C23" s="45" t="s">
        <v>291</v>
      </c>
      <c r="D23" s="46" t="s">
        <v>292</v>
      </c>
      <c r="E23" s="47"/>
      <c r="F23" s="47"/>
      <c r="G23" s="48" t="s">
        <v>293</v>
      </c>
      <c r="H23" s="49">
        <v>46109</v>
      </c>
      <c r="I23" s="50" t="s">
        <v>50</v>
      </c>
      <c r="J23" s="50" t="s">
        <v>294</v>
      </c>
      <c r="K23" s="50" t="s">
        <v>48</v>
      </c>
      <c r="L23" s="48" t="s">
        <v>295</v>
      </c>
    </row>
    <row r="24" customHeight="1" spans="1:12">
      <c r="A24" s="45" t="s">
        <v>296</v>
      </c>
      <c r="B24" s="45" t="s">
        <v>297</v>
      </c>
      <c r="C24" s="45" t="s">
        <v>298</v>
      </c>
      <c r="D24" s="46" t="s">
        <v>299</v>
      </c>
      <c r="E24" s="47"/>
      <c r="F24" s="47"/>
      <c r="G24" s="48" t="s">
        <v>300</v>
      </c>
      <c r="H24" s="49">
        <v>46109</v>
      </c>
      <c r="I24" s="50" t="s">
        <v>50</v>
      </c>
      <c r="J24" s="50" t="s">
        <v>301</v>
      </c>
      <c r="K24" s="50" t="s">
        <v>48</v>
      </c>
      <c r="L24" s="48" t="s">
        <v>302</v>
      </c>
    </row>
    <row r="25" customHeight="1" spans="1:12">
      <c r="A25" s="45" t="s">
        <v>303</v>
      </c>
      <c r="B25" s="45" t="s">
        <v>304</v>
      </c>
      <c r="C25" s="45" t="s">
        <v>305</v>
      </c>
      <c r="D25" s="46" t="s">
        <v>306</v>
      </c>
      <c r="E25" s="47"/>
      <c r="F25" s="47"/>
      <c r="G25" s="48" t="s">
        <v>307</v>
      </c>
      <c r="H25" s="49">
        <v>46109</v>
      </c>
      <c r="I25" s="50" t="s">
        <v>50</v>
      </c>
      <c r="J25" s="45" t="s">
        <v>308</v>
      </c>
      <c r="K25" s="45" t="s">
        <v>48</v>
      </c>
      <c r="L25" s="58" t="s">
        <v>309</v>
      </c>
    </row>
    <row r="26" customHeight="1" spans="1:12">
      <c r="A26" s="45" t="s">
        <v>310</v>
      </c>
      <c r="B26" s="45" t="s">
        <v>311</v>
      </c>
      <c r="C26" s="45" t="s">
        <v>312</v>
      </c>
      <c r="D26" s="46" t="s">
        <v>313</v>
      </c>
      <c r="E26" s="47"/>
      <c r="F26" s="47"/>
      <c r="G26" s="48" t="s">
        <v>314</v>
      </c>
      <c r="H26" s="49">
        <v>46109</v>
      </c>
      <c r="I26" s="50" t="s">
        <v>48</v>
      </c>
      <c r="J26" s="45" t="s">
        <v>315</v>
      </c>
      <c r="K26" s="45"/>
      <c r="L26" s="45"/>
    </row>
    <row r="29" customHeight="1" spans="1:12">
      <c r="A29" s="56"/>
    </row>
    <row r="31" customHeight="1" spans="1:12">
      <c r="A31" s="56"/>
    </row>
  </sheetData>
  <mergeCells count="17">
    <mergeCell ref="B3:D3"/>
    <mergeCell ref="B4:D4"/>
    <mergeCell ref="B5:D5"/>
    <mergeCell ref="A12:L12"/>
    <mergeCell ref="A15:L15"/>
    <mergeCell ref="A19:L19"/>
    <mergeCell ref="A9:A10"/>
    <mergeCell ref="B9:B10"/>
    <mergeCell ref="C9:C10"/>
    <mergeCell ref="G9:G10"/>
    <mergeCell ref="H9:H10"/>
    <mergeCell ref="I9:I10"/>
    <mergeCell ref="J9:J10"/>
    <mergeCell ref="K9:K10"/>
    <mergeCell ref="L9:L10"/>
    <mergeCell ref="B1:D2"/>
    <mergeCell ref="D9:F10"/>
  </mergeCells>
  <hyperlinks>
    <hyperlink ref="G13" r:id="rId1" display="TCPro1.png"/>
    <hyperlink ref="G14" r:id="rId2" display="TCPro2.png"/>
    <hyperlink ref="G16" r:id="rId3" display="TCPro3.png"/>
    <hyperlink ref="L16" r:id="rId4" display="TCPro3SauRetest.png"/>
    <hyperlink ref="G17" r:id="rId5" display="TCPro4.png"/>
    <hyperlink ref="G18" r:id="rId6" display="TCPro5.png"/>
    <hyperlink ref="L18" r:id="rId7" display="TCPro5SauRetest.png"/>
    <hyperlink ref="G20" r:id="rId8" display="TCPro6.png"/>
    <hyperlink ref="L20" r:id="rId9" display="TCPro6SauRetest.png"/>
    <hyperlink ref="G21" r:id="rId10" display="TCPro7.png"/>
    <hyperlink ref="L21" r:id="rId11" display="TCPro7SauRetest.png"/>
    <hyperlink ref="G22" r:id="rId12" display="TCPro8.png"/>
    <hyperlink ref="L22" r:id="rId13" display="TCPro8-1SauRestest.png TCPro8-2SauRetest.png"/>
    <hyperlink ref="G23" r:id="rId14" display="TCPro9.png"/>
    <hyperlink ref="L23" r:id="rId15" display="TCPro9-1SauRetest.png TCPro9-2SauRetest.png"/>
    <hyperlink ref="G24" r:id="rId16" display="TCPro10.png"/>
    <hyperlink ref="L24" r:id="rId17" display="TCPro10-1SauRetest.png TCPro10-2SauRetest.png"/>
    <hyperlink ref="G25" r:id="rId18" display="TCPro11.png"/>
    <hyperlink ref="L25" r:id="rId19" display="TCPro11-1SauRetest.png TCPro11-2SauRetest.png"/>
    <hyperlink ref="G26" r:id="rId20" display="TCPro12.png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2"/>
  <sheetViews>
    <sheetView workbookViewId="0">
      <selection activeCell="A1" sqref="A1"/>
    </sheetView>
  </sheetViews>
  <sheetFormatPr defaultColWidth="12.6296296296296" defaultRowHeight="15.75" customHeight="1"/>
  <cols>
    <col min="1" max="1" width="20.75" customWidth="1"/>
    <col min="2" max="2" width="58.5" customWidth="1"/>
    <col min="3" max="3" width="74.8796296296296" customWidth="1"/>
    <col min="6" max="6" width="44.3796296296296" customWidth="1"/>
    <col min="7" max="7" width="46.1296296296296" customWidth="1"/>
    <col min="10" max="10" width="72.3796296296296" customWidth="1"/>
  </cols>
  <sheetData>
    <row r="1" customHeight="1" spans="1:10">
      <c r="A1" s="18" t="s">
        <v>0</v>
      </c>
      <c r="B1" s="19"/>
      <c r="E1" s="20"/>
      <c r="F1" s="20"/>
      <c r="G1" s="20"/>
      <c r="H1" s="20"/>
      <c r="I1" s="21"/>
      <c r="J1" s="20"/>
    </row>
    <row r="2" customHeight="1" spans="1:10">
      <c r="A2" s="20"/>
      <c r="B2" s="22"/>
      <c r="C2" s="22"/>
      <c r="D2" s="22"/>
      <c r="E2" s="20"/>
      <c r="F2" s="20"/>
      <c r="G2" s="20"/>
      <c r="H2" s="20"/>
      <c r="I2" s="21"/>
      <c r="J2" s="20"/>
    </row>
    <row r="3" customHeight="1" spans="1:10">
      <c r="A3" s="23" t="s">
        <v>133</v>
      </c>
      <c r="B3" s="24" t="s">
        <v>4</v>
      </c>
      <c r="C3" s="25"/>
      <c r="D3" s="26"/>
      <c r="E3" s="27"/>
      <c r="F3" s="27"/>
      <c r="G3" s="27"/>
      <c r="H3" s="28"/>
      <c r="I3" s="29"/>
      <c r="J3" s="29"/>
    </row>
    <row r="4" customHeight="1" spans="1:10">
      <c r="A4" s="23" t="s">
        <v>44</v>
      </c>
      <c r="B4" s="30" t="s">
        <v>36</v>
      </c>
      <c r="C4" s="25"/>
      <c r="D4" s="26"/>
      <c r="E4" s="27"/>
      <c r="F4" s="27"/>
      <c r="G4" s="27"/>
      <c r="H4" s="28"/>
      <c r="I4" s="29"/>
      <c r="J4" s="29"/>
    </row>
    <row r="5" customHeight="1" spans="1:10">
      <c r="A5" s="23" t="s">
        <v>46</v>
      </c>
      <c r="B5" s="24" t="s">
        <v>316</v>
      </c>
      <c r="C5" s="25"/>
      <c r="D5" s="26"/>
      <c r="E5" s="27"/>
      <c r="F5" s="27"/>
      <c r="G5" s="27"/>
      <c r="H5" s="28"/>
      <c r="I5" s="29"/>
      <c r="J5" s="29"/>
    </row>
    <row r="6" customHeight="1" spans="1:10">
      <c r="A6" s="31" t="s">
        <v>48</v>
      </c>
      <c r="B6" s="31">
        <v>7</v>
      </c>
      <c r="C6" s="32" t="s">
        <v>49</v>
      </c>
      <c r="D6" s="32">
        <v>0</v>
      </c>
      <c r="E6" s="28"/>
      <c r="F6" s="28"/>
      <c r="G6" s="28"/>
      <c r="H6" s="28"/>
      <c r="I6" s="29"/>
      <c r="J6" s="29"/>
    </row>
    <row r="7" customHeight="1" spans="1:10">
      <c r="A7" s="31" t="s">
        <v>50</v>
      </c>
      <c r="B7" s="31">
        <v>0</v>
      </c>
      <c r="C7" s="33" t="s">
        <v>51</v>
      </c>
      <c r="D7" s="32">
        <v>7</v>
      </c>
      <c r="E7" s="28"/>
      <c r="F7" s="28"/>
      <c r="G7" s="28"/>
      <c r="H7" s="28"/>
      <c r="I7" s="29"/>
      <c r="J7" s="29"/>
    </row>
    <row r="8" customHeight="1" spans="1:10">
      <c r="A8" s="34"/>
      <c r="B8" s="35"/>
      <c r="C8" s="35"/>
      <c r="D8" s="35"/>
      <c r="E8" s="28"/>
      <c r="F8" s="28"/>
      <c r="G8" s="28"/>
      <c r="H8" s="28"/>
      <c r="I8" s="36"/>
      <c r="J8" s="36"/>
    </row>
    <row r="9" customHeight="1" spans="1:10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</row>
    <row r="10" customHeight="1" spans="1:10">
      <c r="A10" s="41"/>
      <c r="B10" s="41"/>
      <c r="C10" s="41"/>
      <c r="D10" s="42"/>
      <c r="E10" s="22"/>
      <c r="F10" s="22"/>
      <c r="G10" s="41"/>
      <c r="H10" s="41"/>
      <c r="I10" s="41"/>
      <c r="J10" s="41"/>
    </row>
    <row r="11" customHeight="1" spans="1:10">
      <c r="A11" s="43"/>
      <c r="B11" s="35"/>
      <c r="C11" s="35"/>
      <c r="D11" s="35"/>
      <c r="E11" s="35"/>
      <c r="F11" s="35"/>
      <c r="G11" s="35"/>
      <c r="H11" s="35"/>
      <c r="I11" s="35"/>
      <c r="J11" s="73"/>
    </row>
    <row r="12" customHeight="1" spans="1:10">
      <c r="A12" s="44" t="s">
        <v>317</v>
      </c>
      <c r="B12" s="25"/>
      <c r="C12" s="25"/>
      <c r="D12" s="25"/>
      <c r="E12" s="25"/>
      <c r="F12" s="25"/>
      <c r="G12" s="25"/>
      <c r="H12" s="25"/>
      <c r="I12" s="25"/>
      <c r="J12" s="26"/>
    </row>
    <row r="13" customHeight="1" spans="1:10">
      <c r="A13" s="45" t="s">
        <v>318</v>
      </c>
      <c r="B13" s="45" t="s">
        <v>319</v>
      </c>
      <c r="C13" s="45" t="s">
        <v>320</v>
      </c>
      <c r="D13" s="46" t="s">
        <v>321</v>
      </c>
      <c r="E13" s="47"/>
      <c r="F13" s="47"/>
      <c r="G13" s="74" t="s">
        <v>322</v>
      </c>
      <c r="H13" s="49">
        <v>46116</v>
      </c>
      <c r="I13" s="50" t="s">
        <v>48</v>
      </c>
      <c r="J13" s="50" t="s">
        <v>323</v>
      </c>
    </row>
    <row r="14" customHeight="1" spans="1:10">
      <c r="A14" s="45" t="s">
        <v>324</v>
      </c>
      <c r="B14" s="45" t="s">
        <v>325</v>
      </c>
      <c r="C14" s="45" t="s">
        <v>326</v>
      </c>
      <c r="D14" s="46" t="s">
        <v>327</v>
      </c>
      <c r="E14" s="47"/>
      <c r="F14" s="47"/>
      <c r="G14" s="74" t="s">
        <v>328</v>
      </c>
      <c r="H14" s="49">
        <v>46116</v>
      </c>
      <c r="I14" s="45" t="s">
        <v>48</v>
      </c>
      <c r="J14" s="45" t="s">
        <v>329</v>
      </c>
    </row>
    <row r="15" customHeight="1" spans="1:10">
      <c r="A15" s="44" t="s">
        <v>330</v>
      </c>
      <c r="B15" s="25"/>
      <c r="C15" s="25"/>
      <c r="D15" s="25"/>
      <c r="E15" s="25"/>
      <c r="F15" s="25"/>
      <c r="G15" s="25"/>
      <c r="H15" s="25"/>
      <c r="I15" s="25"/>
      <c r="J15" s="26"/>
    </row>
    <row r="16" customHeight="1" spans="1:10">
      <c r="A16" s="45" t="s">
        <v>331</v>
      </c>
      <c r="B16" s="45" t="s">
        <v>332</v>
      </c>
      <c r="C16" s="45" t="s">
        <v>333</v>
      </c>
      <c r="D16" s="46" t="s">
        <v>334</v>
      </c>
      <c r="E16" s="47"/>
      <c r="F16" s="47"/>
      <c r="G16" s="74" t="s">
        <v>335</v>
      </c>
      <c r="H16" s="49">
        <v>46116</v>
      </c>
      <c r="I16" s="50" t="s">
        <v>48</v>
      </c>
      <c r="J16" s="50" t="s">
        <v>336</v>
      </c>
    </row>
    <row r="17" customHeight="1" spans="1:10">
      <c r="A17" s="45" t="s">
        <v>337</v>
      </c>
      <c r="B17" s="45" t="s">
        <v>338</v>
      </c>
      <c r="C17" s="45" t="s">
        <v>339</v>
      </c>
      <c r="D17" s="46" t="s">
        <v>340</v>
      </c>
      <c r="E17" s="47"/>
      <c r="F17" s="47"/>
      <c r="G17" s="74" t="s">
        <v>341</v>
      </c>
      <c r="H17" s="49">
        <v>46136</v>
      </c>
      <c r="I17" s="50" t="s">
        <v>48</v>
      </c>
      <c r="J17" s="50" t="s">
        <v>342</v>
      </c>
    </row>
    <row r="18" customHeight="1" spans="1:10">
      <c r="A18" s="44" t="s">
        <v>343</v>
      </c>
      <c r="B18" s="25"/>
      <c r="C18" s="25"/>
      <c r="D18" s="25"/>
      <c r="E18" s="25"/>
      <c r="F18" s="25"/>
      <c r="G18" s="25"/>
      <c r="H18" s="25"/>
      <c r="I18" s="25"/>
      <c r="J18" s="26"/>
    </row>
    <row r="19" customHeight="1" spans="1:10">
      <c r="A19" s="45" t="s">
        <v>344</v>
      </c>
      <c r="B19" s="45" t="s">
        <v>345</v>
      </c>
      <c r="C19" s="45" t="s">
        <v>346</v>
      </c>
      <c r="D19" s="46" t="s">
        <v>347</v>
      </c>
      <c r="E19" s="47"/>
      <c r="F19" s="47"/>
      <c r="G19" s="74" t="s">
        <v>348</v>
      </c>
      <c r="H19" s="49">
        <v>46136</v>
      </c>
      <c r="I19" s="45" t="s">
        <v>48</v>
      </c>
      <c r="J19" s="45" t="s">
        <v>349</v>
      </c>
    </row>
    <row r="20" customHeight="1" spans="1:10">
      <c r="A20" s="45" t="s">
        <v>350</v>
      </c>
      <c r="B20" s="45" t="s">
        <v>351</v>
      </c>
      <c r="C20" s="45" t="s">
        <v>352</v>
      </c>
      <c r="D20" s="46" t="s">
        <v>353</v>
      </c>
      <c r="E20" s="47"/>
      <c r="F20" s="47"/>
      <c r="G20" s="58" t="s">
        <v>354</v>
      </c>
      <c r="H20" s="49">
        <v>46136</v>
      </c>
      <c r="I20" s="45" t="s">
        <v>48</v>
      </c>
      <c r="J20" s="45" t="s">
        <v>355</v>
      </c>
    </row>
    <row r="21" customHeight="1" spans="1:10">
      <c r="A21" s="44" t="s">
        <v>356</v>
      </c>
      <c r="B21" s="25"/>
      <c r="C21" s="25"/>
      <c r="D21" s="25"/>
      <c r="E21" s="25"/>
      <c r="F21" s="25"/>
      <c r="G21" s="25"/>
      <c r="H21" s="25"/>
      <c r="I21" s="25"/>
      <c r="J21" s="26"/>
    </row>
    <row r="22" customHeight="1" spans="1:10">
      <c r="A22" s="45" t="s">
        <v>357</v>
      </c>
      <c r="B22" s="45" t="s">
        <v>358</v>
      </c>
      <c r="C22" s="45" t="s">
        <v>359</v>
      </c>
      <c r="D22" s="46" t="s">
        <v>360</v>
      </c>
      <c r="E22" s="47"/>
      <c r="F22" s="47"/>
      <c r="G22" s="74" t="s">
        <v>361</v>
      </c>
      <c r="H22" s="49">
        <v>46136</v>
      </c>
      <c r="I22" s="45" t="s">
        <v>48</v>
      </c>
      <c r="J22" s="45" t="s">
        <v>362</v>
      </c>
    </row>
  </sheetData>
  <mergeCells count="16">
    <mergeCell ref="B3:D3"/>
    <mergeCell ref="B4:D4"/>
    <mergeCell ref="B5:D5"/>
    <mergeCell ref="A12:J12"/>
    <mergeCell ref="A15:J15"/>
    <mergeCell ref="A18:J18"/>
    <mergeCell ref="A21:J21"/>
    <mergeCell ref="A9:A10"/>
    <mergeCell ref="B9:B10"/>
    <mergeCell ref="C9:C10"/>
    <mergeCell ref="G9:G10"/>
    <mergeCell ref="H9:H10"/>
    <mergeCell ref="I9:I10"/>
    <mergeCell ref="J9:J10"/>
    <mergeCell ref="B1:D2"/>
    <mergeCell ref="D9:F10"/>
  </mergeCells>
  <hyperlinks>
    <hyperlink ref="G13" r:id="rId1" display="TCStat1.png"/>
    <hyperlink ref="G14" r:id="rId2" display="TCStat2.png"/>
    <hyperlink ref="G16" r:id="rId3" display="TCStat3.png"/>
    <hyperlink ref="G17" r:id="rId4" display="TCStat4-1.pngTCStat4-2.png TCStat4-3.png"/>
    <hyperlink ref="G19" r:id="rId5" display="TCStat5-1.png TCStat5-2.png TCStat5-3.png"/>
    <hyperlink ref="G20" r:id="rId6" display="TCStat6.png"/>
    <hyperlink ref="G22" r:id="rId7" display="TCStat7.png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workbookViewId="0">
      <selection activeCell="A1" sqref="A1"/>
    </sheetView>
  </sheetViews>
  <sheetFormatPr defaultColWidth="12.6296296296296" defaultRowHeight="15.75" customHeight="1"/>
  <cols>
    <col min="2" max="2" width="33" customWidth="1"/>
    <col min="3" max="3" width="45.75" customWidth="1"/>
    <col min="4" max="4" width="35.1296296296296" customWidth="1"/>
    <col min="7" max="7" width="47.5" customWidth="1"/>
    <col min="10" max="10" width="26" customWidth="1"/>
  </cols>
  <sheetData>
    <row r="1" customHeight="1" spans="1:26">
      <c r="A1" s="59" t="s">
        <v>0</v>
      </c>
      <c r="B1" s="60"/>
      <c r="E1" s="60"/>
      <c r="F1" s="60"/>
      <c r="G1" s="60"/>
      <c r="H1" s="60"/>
      <c r="I1" s="60"/>
      <c r="J1" s="60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Height="1" spans="1:26">
      <c r="A2" s="60"/>
      <c r="B2" s="22"/>
      <c r="C2" s="22"/>
      <c r="D2" s="22"/>
      <c r="E2" s="60"/>
      <c r="F2" s="60"/>
      <c r="G2" s="60"/>
      <c r="H2" s="60"/>
      <c r="I2" s="60"/>
      <c r="J2" s="6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customHeight="1" spans="1:26">
      <c r="A3" s="61" t="s">
        <v>133</v>
      </c>
      <c r="B3" s="62" t="s">
        <v>4</v>
      </c>
      <c r="C3" s="25"/>
      <c r="D3" s="26"/>
      <c r="E3" s="60"/>
      <c r="F3" s="60"/>
      <c r="G3" s="60"/>
      <c r="H3" s="60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customHeight="1" spans="1:26">
      <c r="A4" s="61" t="s">
        <v>44</v>
      </c>
      <c r="B4" s="63" t="s">
        <v>28</v>
      </c>
      <c r="C4" s="25"/>
      <c r="D4" s="26"/>
      <c r="E4" s="60"/>
      <c r="F4" s="60"/>
      <c r="G4" s="60"/>
      <c r="H4" s="60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customHeight="1" spans="1:26">
      <c r="A5" s="61" t="s">
        <v>46</v>
      </c>
      <c r="B5" s="62" t="s">
        <v>363</v>
      </c>
      <c r="C5" s="25"/>
      <c r="D5" s="26"/>
      <c r="E5" s="60"/>
      <c r="F5" s="60"/>
      <c r="G5" s="60"/>
      <c r="H5" s="60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customHeight="1" spans="1:26">
      <c r="A6" s="64" t="s">
        <v>48</v>
      </c>
      <c r="B6" s="64">
        <v>9</v>
      </c>
      <c r="C6" s="65" t="s">
        <v>49</v>
      </c>
      <c r="D6" s="65">
        <v>0</v>
      </c>
      <c r="E6" s="60"/>
      <c r="F6" s="60"/>
      <c r="G6" s="60"/>
      <c r="H6" s="6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customHeight="1" spans="1:26">
      <c r="A7" s="64" t="s">
        <v>50</v>
      </c>
      <c r="B7" s="64">
        <v>0</v>
      </c>
      <c r="C7" s="66" t="s">
        <v>51</v>
      </c>
      <c r="D7" s="65">
        <v>9</v>
      </c>
      <c r="E7" s="60"/>
      <c r="F7" s="60"/>
      <c r="G7" s="60"/>
      <c r="H7" s="60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customHeight="1" spans="1:26">
      <c r="A8" s="67"/>
      <c r="B8" s="47"/>
      <c r="C8" s="47"/>
      <c r="D8" s="47"/>
      <c r="E8" s="60"/>
      <c r="F8" s="60"/>
      <c r="G8" s="60"/>
      <c r="H8" s="60"/>
      <c r="I8" s="68"/>
      <c r="J8" s="68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customHeight="1" spans="1:26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customHeight="1" spans="1:26">
      <c r="A10" s="41"/>
      <c r="B10" s="41"/>
      <c r="C10" s="41"/>
      <c r="D10" s="42"/>
      <c r="E10" s="22"/>
      <c r="F10" s="22"/>
      <c r="G10" s="41"/>
      <c r="H10" s="41"/>
      <c r="I10" s="41"/>
      <c r="J10" s="4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customHeight="1" spans="1:26">
      <c r="A11" s="69"/>
      <c r="B11" s="47"/>
      <c r="C11" s="47"/>
      <c r="D11" s="47"/>
      <c r="E11" s="47"/>
      <c r="F11" s="47"/>
      <c r="G11" s="47"/>
      <c r="H11" s="47"/>
      <c r="I11" s="47"/>
      <c r="J11" s="70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customHeight="1" spans="1:26">
      <c r="A12" s="71" t="s">
        <v>364</v>
      </c>
      <c r="B12" s="25"/>
      <c r="C12" s="25"/>
      <c r="D12" s="25"/>
      <c r="E12" s="25"/>
      <c r="F12" s="25"/>
      <c r="G12" s="25"/>
      <c r="H12" s="25"/>
      <c r="I12" s="25"/>
      <c r="J12" s="26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customHeight="1" spans="1:26">
      <c r="A13" s="45" t="s">
        <v>365</v>
      </c>
      <c r="B13" s="45" t="s">
        <v>366</v>
      </c>
      <c r="C13" s="72" t="s">
        <v>367</v>
      </c>
      <c r="D13" s="46" t="s">
        <v>368</v>
      </c>
      <c r="E13" s="47"/>
      <c r="F13" s="47"/>
      <c r="G13" s="58" t="s">
        <v>369</v>
      </c>
      <c r="H13" s="49">
        <v>46121</v>
      </c>
      <c r="I13" s="45" t="s">
        <v>48</v>
      </c>
      <c r="J13" s="45" t="s">
        <v>366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customHeight="1" spans="1:26">
      <c r="A14" s="45" t="s">
        <v>370</v>
      </c>
      <c r="B14" s="45" t="s">
        <v>371</v>
      </c>
      <c r="C14" s="45" t="s">
        <v>372</v>
      </c>
      <c r="D14" s="46" t="s">
        <v>373</v>
      </c>
      <c r="E14" s="47"/>
      <c r="F14" s="47"/>
      <c r="G14" s="58" t="s">
        <v>374</v>
      </c>
      <c r="H14" s="49">
        <v>46121</v>
      </c>
      <c r="I14" s="45" t="s">
        <v>48</v>
      </c>
      <c r="J14" s="45" t="s">
        <v>375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customHeight="1" spans="1:26">
      <c r="A15" s="71" t="s">
        <v>376</v>
      </c>
      <c r="B15" s="25"/>
      <c r="C15" s="25"/>
      <c r="D15" s="25"/>
      <c r="E15" s="25"/>
      <c r="F15" s="25"/>
      <c r="G15" s="25"/>
      <c r="H15" s="25"/>
      <c r="I15" s="25"/>
      <c r="J15" s="26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customHeight="1" spans="1:26">
      <c r="A16" s="45" t="s">
        <v>377</v>
      </c>
      <c r="B16" s="45" t="s">
        <v>378</v>
      </c>
      <c r="C16" s="45" t="s">
        <v>379</v>
      </c>
      <c r="D16" s="46" t="s">
        <v>380</v>
      </c>
      <c r="E16" s="47"/>
      <c r="F16" s="47"/>
      <c r="G16" s="58" t="s">
        <v>381</v>
      </c>
      <c r="H16" s="49">
        <v>46121</v>
      </c>
      <c r="I16" s="45" t="s">
        <v>48</v>
      </c>
      <c r="J16" s="45" t="s">
        <v>382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customHeight="1" spans="1:26">
      <c r="A17" s="45" t="s">
        <v>383</v>
      </c>
      <c r="B17" s="45" t="s">
        <v>384</v>
      </c>
      <c r="C17" s="45" t="s">
        <v>385</v>
      </c>
      <c r="D17" s="46" t="s">
        <v>386</v>
      </c>
      <c r="E17" s="47"/>
      <c r="F17" s="47"/>
      <c r="G17" s="58" t="s">
        <v>381</v>
      </c>
      <c r="H17" s="49">
        <v>46121</v>
      </c>
      <c r="I17" s="45" t="s">
        <v>48</v>
      </c>
      <c r="J17" s="45" t="s">
        <v>387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customHeight="1" spans="1:26">
      <c r="A18" s="45" t="s">
        <v>388</v>
      </c>
      <c r="B18" s="45" t="s">
        <v>389</v>
      </c>
      <c r="C18" s="45" t="s">
        <v>390</v>
      </c>
      <c r="D18" s="46" t="s">
        <v>391</v>
      </c>
      <c r="E18" s="47"/>
      <c r="F18" s="47"/>
      <c r="G18" s="58" t="s">
        <v>392</v>
      </c>
      <c r="H18" s="49">
        <v>46121</v>
      </c>
      <c r="I18" s="45" t="s">
        <v>48</v>
      </c>
      <c r="J18" s="45" t="s">
        <v>393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customHeight="1" spans="1:26">
      <c r="A19" s="45" t="s">
        <v>394</v>
      </c>
      <c r="B19" s="45" t="s">
        <v>395</v>
      </c>
      <c r="C19" s="45" t="s">
        <v>396</v>
      </c>
      <c r="D19" s="46" t="s">
        <v>397</v>
      </c>
      <c r="E19" s="47"/>
      <c r="F19" s="47"/>
      <c r="G19" s="58" t="s">
        <v>398</v>
      </c>
      <c r="H19" s="49">
        <v>46121</v>
      </c>
      <c r="I19" s="45" t="s">
        <v>48</v>
      </c>
      <c r="J19" s="45" t="s">
        <v>399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customHeight="1" spans="1:26">
      <c r="A20" s="45" t="s">
        <v>400</v>
      </c>
      <c r="B20" s="45" t="s">
        <v>401</v>
      </c>
      <c r="C20" s="45" t="s">
        <v>402</v>
      </c>
      <c r="D20" s="46" t="s">
        <v>403</v>
      </c>
      <c r="E20" s="47"/>
      <c r="F20" s="47"/>
      <c r="G20" s="58" t="s">
        <v>404</v>
      </c>
      <c r="H20" s="49">
        <v>46121</v>
      </c>
      <c r="I20" s="45" t="s">
        <v>48</v>
      </c>
      <c r="J20" s="45" t="s">
        <v>405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customHeight="1" spans="1:26">
      <c r="A21" s="71" t="s">
        <v>406</v>
      </c>
      <c r="B21" s="25"/>
      <c r="C21" s="25"/>
      <c r="D21" s="25"/>
      <c r="E21" s="25"/>
      <c r="F21" s="25"/>
      <c r="G21" s="25"/>
      <c r="H21" s="25"/>
      <c r="I21" s="25"/>
      <c r="J21" s="26"/>
    </row>
    <row r="22" customHeight="1" spans="1:26">
      <c r="A22" s="45" t="s">
        <v>407</v>
      </c>
      <c r="B22" s="45" t="s">
        <v>408</v>
      </c>
      <c r="C22" s="45" t="s">
        <v>409</v>
      </c>
      <c r="D22" s="46" t="s">
        <v>410</v>
      </c>
      <c r="E22" s="47"/>
      <c r="F22" s="47"/>
      <c r="G22" s="58" t="s">
        <v>411</v>
      </c>
      <c r="H22" s="49">
        <v>46121</v>
      </c>
      <c r="I22" s="45" t="s">
        <v>48</v>
      </c>
      <c r="J22" s="45" t="s">
        <v>412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customHeight="1" spans="1:26">
      <c r="A23" s="45" t="s">
        <v>413</v>
      </c>
      <c r="B23" s="45" t="s">
        <v>414</v>
      </c>
      <c r="C23" s="45" t="s">
        <v>415</v>
      </c>
      <c r="D23" s="46" t="s">
        <v>416</v>
      </c>
      <c r="E23" s="47"/>
      <c r="F23" s="47"/>
      <c r="G23" s="58" t="s">
        <v>417</v>
      </c>
      <c r="H23" s="49">
        <v>46121</v>
      </c>
      <c r="I23" s="45" t="s">
        <v>48</v>
      </c>
      <c r="J23" s="45" t="s">
        <v>418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customHeight="1" spans="1:26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customHeight="1" spans="1:26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customHeight="1" spans="1: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customHeight="1" spans="1:26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customHeight="1" spans="1:26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customHeight="1" spans="1:26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customHeight="1" spans="1:26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customHeight="1" spans="1:26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customHeight="1" spans="1:26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customHeight="1" spans="1:26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customHeight="1" spans="1:26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customHeight="1" spans="1:26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customHeight="1" spans="1:2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customHeight="1" spans="1:26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customHeight="1" spans="1:26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customHeight="1" spans="1:26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customHeight="1" spans="1:26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customHeight="1" spans="1:26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customHeight="1" spans="1:26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customHeight="1" spans="1:26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customHeight="1" spans="1:26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customHeight="1" spans="1:26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customHeight="1" spans="1:2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customHeight="1" spans="1:26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customHeight="1" spans="1:26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customHeight="1" spans="1:26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customHeight="1" spans="1:26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customHeight="1" spans="1:26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customHeight="1" spans="1:26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customHeight="1" spans="1:26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customHeight="1" spans="1:26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customHeight="1" spans="1:26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customHeight="1" spans="1:2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customHeight="1" spans="1:26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customHeight="1" spans="1:26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customHeight="1" spans="1:26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customHeight="1" spans="1:26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customHeight="1" spans="1:26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customHeight="1" spans="1:26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customHeight="1" spans="1:26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customHeight="1" spans="1:26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customHeight="1" spans="1:26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customHeight="1" spans="1:2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customHeight="1" spans="1:26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customHeight="1" spans="1:26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customHeight="1" spans="1:26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customHeight="1" spans="1:26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customHeight="1" spans="1:26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customHeight="1" spans="1:26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customHeight="1" spans="1:26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customHeight="1" spans="1:26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customHeight="1" spans="1:26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customHeight="1" spans="1:2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customHeight="1" spans="1:26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customHeight="1" spans="1:26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customHeight="1" spans="1:26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customHeight="1" spans="1:26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customHeight="1" spans="1:26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customHeight="1" spans="1:26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customHeight="1" spans="1:26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customHeight="1" spans="1:26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customHeight="1" spans="1:26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customHeight="1" spans="1:2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customHeight="1" spans="1:26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customHeight="1" spans="1:26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customHeight="1" spans="1:26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customHeight="1" spans="1:26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customHeight="1" spans="1:26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customHeight="1" spans="1:26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customHeight="1" spans="1:26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customHeight="1" spans="1:26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customHeight="1" spans="1:26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customHeight="1" spans="1:2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customHeight="1" spans="1:26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customHeight="1" spans="1:26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customHeight="1" spans="1:26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customHeight="1" spans="1:26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customHeight="1" spans="1:26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customHeight="1" spans="1:26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customHeight="1" spans="1:26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customHeight="1" spans="1:26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customHeight="1" spans="1:26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customHeight="1" spans="1:2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customHeight="1" spans="1:26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customHeight="1" spans="1:26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customHeight="1" spans="1:26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customHeight="1" spans="1:26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customHeight="1" spans="1:26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customHeight="1" spans="1:26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customHeight="1" spans="1:26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customHeight="1" spans="1:26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customHeight="1" spans="1:26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customHeight="1" spans="1:2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customHeight="1" spans="1:26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customHeight="1" spans="1:26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customHeight="1" spans="1:26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customHeight="1" spans="1:26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customHeight="1" spans="1:26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customHeight="1" spans="1:26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customHeight="1" spans="1:26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customHeight="1" spans="1:26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customHeight="1" spans="1:26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customHeight="1" spans="1: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customHeight="1" spans="1:26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customHeight="1" spans="1:26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customHeight="1" spans="1:26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customHeight="1" spans="1:26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customHeight="1" spans="1:26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customHeight="1" spans="1:26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customHeight="1" spans="1:26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customHeight="1" spans="1:26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customHeight="1" spans="1:26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customHeight="1" spans="1:2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customHeight="1" spans="1:26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customHeight="1" spans="1:26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customHeight="1" spans="1:26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customHeight="1" spans="1:26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customHeight="1" spans="1:26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customHeight="1" spans="1:26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customHeight="1" spans="1:26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customHeight="1" spans="1:26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customHeight="1" spans="1:26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customHeight="1" spans="1:2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customHeight="1" spans="1:26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customHeight="1" spans="1:26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customHeight="1" spans="1:26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customHeight="1" spans="1:26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customHeight="1" spans="1:26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customHeight="1" spans="1:26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customHeight="1" spans="1:26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customHeight="1" spans="1:26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customHeight="1" spans="1:26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customHeight="1" spans="1:2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customHeight="1" spans="1:26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customHeight="1" spans="1:26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customHeight="1" spans="1:26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customHeight="1" spans="1:26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customHeight="1" spans="1:26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customHeight="1" spans="1:26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customHeight="1" spans="1:26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customHeight="1" spans="1:26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customHeight="1" spans="1:26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customHeight="1" spans="1:2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customHeight="1" spans="1:26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customHeight="1" spans="1:26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customHeight="1" spans="1:26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customHeight="1" spans="1:26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customHeight="1" spans="1:26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customHeight="1" spans="1:26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customHeight="1" spans="1:26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customHeight="1" spans="1:26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customHeight="1" spans="1:26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customHeight="1" spans="1:2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customHeight="1" spans="1:26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customHeight="1" spans="1:26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customHeight="1" spans="1:26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customHeight="1" spans="1:26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customHeight="1" spans="1:26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customHeight="1" spans="1:26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customHeight="1" spans="1:26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customHeight="1" spans="1:26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customHeight="1" spans="1:26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customHeight="1" spans="1:2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customHeight="1" spans="1:26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customHeight="1" spans="1:26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customHeight="1" spans="1:26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customHeight="1" spans="1:26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customHeight="1" spans="1:26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customHeight="1" spans="1:26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customHeight="1" spans="1:26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customHeight="1" spans="1:26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customHeight="1" spans="1:26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customHeight="1" spans="1:2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customHeight="1" spans="1:26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customHeight="1" spans="1:26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customHeight="1" spans="1:26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customHeight="1" spans="1:26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customHeight="1" spans="1:26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customHeight="1" spans="1:26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customHeight="1" spans="1:26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customHeight="1" spans="1:26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customHeight="1" spans="1:26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customHeight="1" spans="1:2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customHeight="1" spans="1:26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customHeight="1" spans="1:26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customHeight="1" spans="1:26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customHeight="1" spans="1:26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customHeight="1" spans="1:26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customHeight="1" spans="1:26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customHeight="1" spans="1:26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customHeight="1" spans="1:26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customHeight="1" spans="1:26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customHeight="1" spans="1:2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customHeight="1" spans="1:26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customHeight="1" spans="1:26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customHeight="1" spans="1:26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customHeight="1" spans="1:26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customHeight="1" spans="1:26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customHeight="1" spans="1:26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customHeight="1" spans="1:26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customHeight="1" spans="1:26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customHeight="1" spans="1:26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customHeight="1" spans="1: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customHeight="1" spans="1:26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customHeight="1" spans="1:26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customHeight="1" spans="1:26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customHeight="1" spans="1:26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customHeight="1" spans="1:26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customHeight="1" spans="1:26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customHeight="1" spans="1:26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customHeight="1" spans="1:26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customHeight="1" spans="1:26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customHeight="1" spans="1:2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customHeight="1" spans="1:26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customHeight="1" spans="1:26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customHeight="1" spans="1:26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customHeight="1" spans="1:26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customHeight="1" spans="1:26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customHeight="1" spans="1:26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customHeight="1" spans="1:26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customHeight="1" spans="1:26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customHeight="1" spans="1:26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customHeight="1" spans="1:2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customHeight="1" spans="1:26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customHeight="1" spans="1:26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customHeight="1" spans="1:26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customHeight="1" spans="1:26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customHeight="1" spans="1:26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customHeight="1" spans="1:26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customHeight="1" spans="1:26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customHeight="1" spans="1:26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customHeight="1" spans="1:26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customHeight="1" spans="1:2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customHeight="1" spans="1:26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customHeight="1" spans="1:26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customHeight="1" spans="1:26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customHeight="1" spans="1:26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customHeight="1" spans="1:26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customHeight="1" spans="1:26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customHeight="1" spans="1:26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customHeight="1" spans="1:26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customHeight="1" spans="1:26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customHeight="1" spans="1:2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customHeight="1" spans="1:26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customHeight="1" spans="1:26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customHeight="1" spans="1:26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customHeight="1" spans="1:26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customHeight="1" spans="1:26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customHeight="1" spans="1:26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customHeight="1" spans="1:26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customHeight="1" spans="1:26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customHeight="1" spans="1:26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customHeight="1" spans="1:2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customHeight="1" spans="1:26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customHeight="1" spans="1:26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customHeight="1" spans="1:26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customHeight="1" spans="1:26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customHeight="1" spans="1:26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customHeight="1" spans="1:26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customHeight="1" spans="1:26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customHeight="1" spans="1:26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customHeight="1" spans="1:26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customHeight="1" spans="1:2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customHeight="1" spans="1:26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customHeight="1" spans="1:26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customHeight="1" spans="1:26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customHeight="1" spans="1:26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customHeight="1" spans="1:26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customHeight="1" spans="1:26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customHeight="1" spans="1:26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customHeight="1" spans="1:26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customHeight="1" spans="1:26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customHeight="1" spans="1:2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customHeight="1" spans="1:26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customHeight="1" spans="1:26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customHeight="1" spans="1:26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customHeight="1" spans="1:26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customHeight="1" spans="1:26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customHeight="1" spans="1:26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customHeight="1" spans="1:26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customHeight="1" spans="1:26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customHeight="1" spans="1:26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customHeight="1" spans="1:2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customHeight="1" spans="1:26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customHeight="1" spans="1:26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customHeight="1" spans="1:26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customHeight="1" spans="1:26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customHeight="1" spans="1:26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customHeight="1" spans="1:26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customHeight="1" spans="1:26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customHeight="1" spans="1:26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customHeight="1" spans="1:26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customHeight="1" spans="1:2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customHeight="1" spans="1:26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customHeight="1" spans="1:26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customHeight="1" spans="1:26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customHeight="1" spans="1:26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customHeight="1" spans="1:26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customHeight="1" spans="1:26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customHeight="1" spans="1:26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customHeight="1" spans="1:26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customHeight="1" spans="1:26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customHeight="1" spans="1: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customHeight="1" spans="1:26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customHeight="1" spans="1:26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customHeight="1" spans="1:26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customHeight="1" spans="1:26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customHeight="1" spans="1:26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customHeight="1" spans="1:26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customHeight="1" spans="1:26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customHeight="1" spans="1:26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customHeight="1" spans="1:26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customHeight="1" spans="1:2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customHeight="1" spans="1:26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customHeight="1" spans="1:26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customHeight="1" spans="1:26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customHeight="1" spans="1:26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customHeight="1" spans="1:26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customHeight="1" spans="1:26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customHeight="1" spans="1:26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customHeight="1" spans="1:26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customHeight="1" spans="1:26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customHeight="1" spans="1:2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customHeight="1" spans="1:26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customHeight="1" spans="1:26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customHeight="1" spans="1:26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customHeight="1" spans="1:26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customHeight="1" spans="1:26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customHeight="1" spans="1:26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customHeight="1" spans="1:26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customHeight="1" spans="1:26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customHeight="1" spans="1:26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customHeight="1" spans="1:2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customHeight="1" spans="1:26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customHeight="1" spans="1:26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customHeight="1" spans="1:26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customHeight="1" spans="1:26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customHeight="1" spans="1:26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customHeight="1" spans="1:26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customHeight="1" spans="1:26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customHeight="1" spans="1:26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customHeight="1" spans="1:26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customHeight="1" spans="1:2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customHeight="1" spans="1:26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customHeight="1" spans="1:26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customHeight="1" spans="1:26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customHeight="1" spans="1:26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customHeight="1" spans="1:26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customHeight="1" spans="1:26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customHeight="1" spans="1:26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customHeight="1" spans="1:26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customHeight="1" spans="1:26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customHeight="1" spans="1:2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customHeight="1" spans="1:26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customHeight="1" spans="1:26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customHeight="1" spans="1:26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customHeight="1" spans="1:26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customHeight="1" spans="1:26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customHeight="1" spans="1:26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customHeight="1" spans="1:26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customHeight="1" spans="1:26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customHeight="1" spans="1:26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customHeight="1" spans="1:2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customHeight="1" spans="1:26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customHeight="1" spans="1:26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customHeight="1" spans="1:26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customHeight="1" spans="1:26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customHeight="1" spans="1:26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customHeight="1" spans="1:26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customHeight="1" spans="1:26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customHeight="1" spans="1:26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customHeight="1" spans="1:26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customHeight="1" spans="1:2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customHeight="1" spans="1:26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customHeight="1" spans="1:26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customHeight="1" spans="1:26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customHeight="1" spans="1:26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customHeight="1" spans="1:26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customHeight="1" spans="1:26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customHeight="1" spans="1:26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customHeight="1" spans="1:26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customHeight="1" spans="1:26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customHeight="1" spans="1:2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customHeight="1" spans="1:26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customHeight="1" spans="1:26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customHeight="1" spans="1:26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customHeight="1" spans="1:26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customHeight="1" spans="1:26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customHeight="1" spans="1:26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customHeight="1" spans="1:26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customHeight="1" spans="1:26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customHeight="1" spans="1:26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customHeight="1" spans="1:2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customHeight="1" spans="1:26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customHeight="1" spans="1:26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customHeight="1" spans="1:26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customHeight="1" spans="1:26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customHeight="1" spans="1:26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customHeight="1" spans="1:26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customHeight="1" spans="1:26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customHeight="1" spans="1:26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customHeight="1" spans="1:26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customHeight="1" spans="1: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customHeight="1" spans="1:26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customHeight="1" spans="1:26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customHeight="1" spans="1:26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customHeight="1" spans="1:26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customHeight="1" spans="1:26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customHeight="1" spans="1:26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customHeight="1" spans="1:26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customHeight="1" spans="1:26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customHeight="1" spans="1:26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customHeight="1" spans="1:2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customHeight="1" spans="1:26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customHeight="1" spans="1:26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customHeight="1" spans="1:26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customHeight="1" spans="1:26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customHeight="1" spans="1:26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customHeight="1" spans="1:26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customHeight="1" spans="1:26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customHeight="1" spans="1:26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customHeight="1" spans="1:26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customHeight="1" spans="1:2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customHeight="1" spans="1:26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customHeight="1" spans="1:26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customHeight="1" spans="1:26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customHeight="1" spans="1:26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customHeight="1" spans="1:26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customHeight="1" spans="1:26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customHeight="1" spans="1:26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customHeight="1" spans="1:26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customHeight="1" spans="1:26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customHeight="1" spans="1:2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customHeight="1" spans="1:26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customHeight="1" spans="1:26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customHeight="1" spans="1:26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customHeight="1" spans="1:26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customHeight="1" spans="1:26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customHeight="1" spans="1:26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customHeight="1" spans="1:26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customHeight="1" spans="1:26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customHeight="1" spans="1:26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customHeight="1" spans="1:2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customHeight="1" spans="1:26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customHeight="1" spans="1:26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customHeight="1" spans="1:26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customHeight="1" spans="1:26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customHeight="1" spans="1:26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customHeight="1" spans="1:26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customHeight="1" spans="1:26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customHeight="1" spans="1:26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customHeight="1" spans="1:26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customHeight="1" spans="1:2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customHeight="1" spans="1:26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customHeight="1" spans="1:26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customHeight="1" spans="1:26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customHeight="1" spans="1:26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customHeight="1" spans="1:26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customHeight="1" spans="1:26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customHeight="1" spans="1:26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customHeight="1" spans="1:26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customHeight="1" spans="1:26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customHeight="1" spans="1:2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customHeight="1" spans="1:26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customHeight="1" spans="1:26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customHeight="1" spans="1:26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customHeight="1" spans="1:26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customHeight="1" spans="1:26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customHeight="1" spans="1:26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customHeight="1" spans="1:26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customHeight="1" spans="1:26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customHeight="1" spans="1:26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customHeight="1" spans="1:2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customHeight="1" spans="1:26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customHeight="1" spans="1:26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customHeight="1" spans="1:26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customHeight="1" spans="1:26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customHeight="1" spans="1:26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customHeight="1" spans="1:26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customHeight="1" spans="1:26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customHeight="1" spans="1:26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customHeight="1" spans="1:26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customHeight="1" spans="1:2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customHeight="1" spans="1:26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customHeight="1" spans="1:26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customHeight="1" spans="1:26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customHeight="1" spans="1:26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customHeight="1" spans="1:26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customHeight="1" spans="1:26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customHeight="1" spans="1:26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customHeight="1" spans="1:26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customHeight="1" spans="1:26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customHeight="1" spans="1:2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customHeight="1" spans="1:26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customHeight="1" spans="1:26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customHeight="1" spans="1:26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customHeight="1" spans="1:26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customHeight="1" spans="1:26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customHeight="1" spans="1:26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customHeight="1" spans="1:26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customHeight="1" spans="1:26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customHeight="1" spans="1:26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customHeight="1" spans="1: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customHeight="1" spans="1:26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customHeight="1" spans="1:26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customHeight="1" spans="1:26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customHeight="1" spans="1:26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customHeight="1" spans="1:26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customHeight="1" spans="1:26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customHeight="1" spans="1:26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customHeight="1" spans="1:26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customHeight="1" spans="1:26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customHeight="1" spans="1:2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customHeight="1" spans="1:26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customHeight="1" spans="1:26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customHeight="1" spans="1:26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customHeight="1" spans="1:26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customHeight="1" spans="1:26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customHeight="1" spans="1:26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customHeight="1" spans="1:26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customHeight="1" spans="1:26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customHeight="1" spans="1:26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customHeight="1" spans="1:2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customHeight="1" spans="1:26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customHeight="1" spans="1:26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customHeight="1" spans="1:26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customHeight="1" spans="1:26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customHeight="1" spans="1:26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customHeight="1" spans="1:26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customHeight="1" spans="1:26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customHeight="1" spans="1:26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customHeight="1" spans="1:26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customHeight="1" spans="1:2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customHeight="1" spans="1:26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customHeight="1" spans="1:26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customHeight="1" spans="1:26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customHeight="1" spans="1:26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customHeight="1" spans="1:26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customHeight="1" spans="1:26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customHeight="1" spans="1:26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customHeight="1" spans="1:26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customHeight="1" spans="1:26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customHeight="1" spans="1:2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customHeight="1" spans="1:26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customHeight="1" spans="1:26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customHeight="1" spans="1:26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customHeight="1" spans="1:26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customHeight="1" spans="1:26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customHeight="1" spans="1:26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customHeight="1" spans="1:26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customHeight="1" spans="1:26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customHeight="1" spans="1:26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customHeight="1" spans="1:2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customHeight="1" spans="1:26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customHeight="1" spans="1:26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customHeight="1" spans="1:26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customHeight="1" spans="1:26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customHeight="1" spans="1:26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customHeight="1" spans="1:26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customHeight="1" spans="1:26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customHeight="1" spans="1:26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customHeight="1" spans="1:26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customHeight="1" spans="1:2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customHeight="1" spans="1:26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customHeight="1" spans="1:26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customHeight="1" spans="1:26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customHeight="1" spans="1:26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customHeight="1" spans="1:26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customHeight="1" spans="1:26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customHeight="1" spans="1:26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customHeight="1" spans="1:26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customHeight="1" spans="1:26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customHeight="1" spans="1:2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customHeight="1" spans="1:26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customHeight="1" spans="1:26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customHeight="1" spans="1:26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customHeight="1" spans="1:26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customHeight="1" spans="1:26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customHeight="1" spans="1:26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customHeight="1" spans="1:26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customHeight="1" spans="1:26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customHeight="1" spans="1:26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customHeight="1" spans="1:2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customHeight="1" spans="1:26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customHeight="1" spans="1:26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customHeight="1" spans="1:26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customHeight="1" spans="1:26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customHeight="1" spans="1:26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customHeight="1" spans="1:26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customHeight="1" spans="1:26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customHeight="1" spans="1:26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customHeight="1" spans="1:26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customHeight="1" spans="1:2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customHeight="1" spans="1:26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customHeight="1" spans="1:26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customHeight="1" spans="1:26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customHeight="1" spans="1:26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customHeight="1" spans="1:26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customHeight="1" spans="1:26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customHeight="1" spans="1:26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customHeight="1" spans="1:26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customHeight="1" spans="1:26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customHeight="1" spans="1: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customHeight="1" spans="1:26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customHeight="1" spans="1:26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customHeight="1" spans="1:26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customHeight="1" spans="1:26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customHeight="1" spans="1:26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customHeight="1" spans="1:26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customHeight="1" spans="1:26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customHeight="1" spans="1:26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customHeight="1" spans="1:26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customHeight="1" spans="1:2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customHeight="1" spans="1:26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customHeight="1" spans="1:26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customHeight="1" spans="1:26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customHeight="1" spans="1:26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customHeight="1" spans="1:26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customHeight="1" spans="1:26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customHeight="1" spans="1:26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customHeight="1" spans="1:26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customHeight="1" spans="1:26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customHeight="1" spans="1:2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customHeight="1" spans="1:26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customHeight="1" spans="1:26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customHeight="1" spans="1:26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customHeight="1" spans="1:26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customHeight="1" spans="1:26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customHeight="1" spans="1:26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customHeight="1" spans="1:26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customHeight="1" spans="1:26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customHeight="1" spans="1:26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customHeight="1" spans="1:2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customHeight="1" spans="1:26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customHeight="1" spans="1:26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customHeight="1" spans="1:26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customHeight="1" spans="1:26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customHeight="1" spans="1:26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customHeight="1" spans="1:26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customHeight="1" spans="1:26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customHeight="1" spans="1:26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customHeight="1" spans="1:26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customHeight="1" spans="1:2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customHeight="1" spans="1:26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customHeight="1" spans="1:26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customHeight="1" spans="1:26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customHeight="1" spans="1:26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customHeight="1" spans="1:26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customHeight="1" spans="1:26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customHeight="1" spans="1:26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customHeight="1" spans="1:26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customHeight="1" spans="1:26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customHeight="1" spans="1:2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customHeight="1" spans="1:26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customHeight="1" spans="1:26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customHeight="1" spans="1:26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customHeight="1" spans="1:26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customHeight="1" spans="1:26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customHeight="1" spans="1:26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customHeight="1" spans="1:26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customHeight="1" spans="1:26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customHeight="1" spans="1:26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customHeight="1" spans="1:2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customHeight="1" spans="1:26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customHeight="1" spans="1:26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customHeight="1" spans="1:26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customHeight="1" spans="1:26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customHeight="1" spans="1:26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customHeight="1" spans="1:26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customHeight="1" spans="1:26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customHeight="1" spans="1:26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customHeight="1" spans="1:26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customHeight="1" spans="1:2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customHeight="1" spans="1:26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customHeight="1" spans="1:26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customHeight="1" spans="1:26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customHeight="1" spans="1:26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customHeight="1" spans="1:26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customHeight="1" spans="1:26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customHeight="1" spans="1:26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customHeight="1" spans="1:26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customHeight="1" spans="1:26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customHeight="1" spans="1:2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customHeight="1" spans="1:26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customHeight="1" spans="1:26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customHeight="1" spans="1:26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customHeight="1" spans="1:26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customHeight="1" spans="1:26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customHeight="1" spans="1:26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customHeight="1" spans="1:26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customHeight="1" spans="1:26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customHeight="1" spans="1:26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customHeight="1" spans="1:2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customHeight="1" spans="1:26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customHeight="1" spans="1:26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customHeight="1" spans="1:26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customHeight="1" spans="1:26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customHeight="1" spans="1:26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customHeight="1" spans="1:26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customHeight="1" spans="1:26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customHeight="1" spans="1:26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customHeight="1" spans="1:26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customHeight="1" spans="1: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customHeight="1" spans="1:26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customHeight="1" spans="1:26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customHeight="1" spans="1:26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customHeight="1" spans="1:26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customHeight="1" spans="1:26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customHeight="1" spans="1:26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customHeight="1" spans="1:26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customHeight="1" spans="1:26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customHeight="1" spans="1:26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customHeight="1" spans="1:2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customHeight="1" spans="1:26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customHeight="1" spans="1:26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customHeight="1" spans="1:26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customHeight="1" spans="1:26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customHeight="1" spans="1:26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customHeight="1" spans="1:26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customHeight="1" spans="1:26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customHeight="1" spans="1:26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customHeight="1" spans="1:26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customHeight="1" spans="1:2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customHeight="1" spans="1:26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customHeight="1" spans="1:26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customHeight="1" spans="1:26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customHeight="1" spans="1:26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customHeight="1" spans="1:26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customHeight="1" spans="1:26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customHeight="1" spans="1:26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customHeight="1" spans="1:26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customHeight="1" spans="1:26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customHeight="1" spans="1:2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customHeight="1" spans="1:26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customHeight="1" spans="1:26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customHeight="1" spans="1:26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customHeight="1" spans="1:26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customHeight="1" spans="1:26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customHeight="1" spans="1:26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customHeight="1" spans="1:26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customHeight="1" spans="1:26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customHeight="1" spans="1:26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customHeight="1" spans="1:2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customHeight="1" spans="1:26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customHeight="1" spans="1:26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customHeight="1" spans="1:26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customHeight="1" spans="1:26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customHeight="1" spans="1:26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customHeight="1" spans="1:26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customHeight="1" spans="1:26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customHeight="1" spans="1:26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customHeight="1" spans="1:26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customHeight="1" spans="1:2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customHeight="1" spans="1:26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customHeight="1" spans="1:26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customHeight="1" spans="1:26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customHeight="1" spans="1:26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customHeight="1" spans="1:26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customHeight="1" spans="1:26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customHeight="1" spans="1:26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customHeight="1" spans="1:26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customHeight="1" spans="1:26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customHeight="1" spans="1:2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customHeight="1" spans="1:26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customHeight="1" spans="1:26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customHeight="1" spans="1:26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customHeight="1" spans="1:26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customHeight="1" spans="1:26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customHeight="1" spans="1:26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customHeight="1" spans="1:26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customHeight="1" spans="1:26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customHeight="1" spans="1:26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customHeight="1" spans="1:2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customHeight="1" spans="1:26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customHeight="1" spans="1:26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customHeight="1" spans="1:26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customHeight="1" spans="1:26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customHeight="1" spans="1:26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customHeight="1" spans="1:26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customHeight="1" spans="1:26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customHeight="1" spans="1:26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customHeight="1" spans="1:26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customHeight="1" spans="1:2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customHeight="1" spans="1:26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customHeight="1" spans="1:26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customHeight="1" spans="1:26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customHeight="1" spans="1:26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customHeight="1" spans="1:26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customHeight="1" spans="1:26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customHeight="1" spans="1:26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customHeight="1" spans="1:26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customHeight="1" spans="1:26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customHeight="1" spans="1:2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customHeight="1" spans="1:26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customHeight="1" spans="1:26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customHeight="1" spans="1:26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customHeight="1" spans="1:26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customHeight="1" spans="1:26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customHeight="1" spans="1:26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customHeight="1" spans="1:26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customHeight="1" spans="1:26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customHeight="1" spans="1:26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customHeight="1" spans="1: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customHeight="1" spans="1:26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customHeight="1" spans="1:26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customHeight="1" spans="1:26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customHeight="1" spans="1:26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customHeight="1" spans="1:26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customHeight="1" spans="1:26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customHeight="1" spans="1:26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customHeight="1" spans="1:26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customHeight="1" spans="1:26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customHeight="1" spans="1:2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customHeight="1" spans="1:26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customHeight="1" spans="1:26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customHeight="1" spans="1:26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customHeight="1" spans="1:26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customHeight="1" spans="1:26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customHeight="1" spans="1:26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customHeight="1" spans="1:26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customHeight="1" spans="1:26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customHeight="1" spans="1:26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customHeight="1" spans="1:2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customHeight="1" spans="1:26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customHeight="1" spans="1:26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customHeight="1" spans="1:26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customHeight="1" spans="1:26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customHeight="1" spans="1:26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customHeight="1" spans="1:26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customHeight="1" spans="1:26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customHeight="1" spans="1:26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customHeight="1" spans="1:26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customHeight="1" spans="1:2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customHeight="1" spans="1:26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customHeight="1" spans="1:26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customHeight="1" spans="1:26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customHeight="1" spans="1:26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customHeight="1" spans="1:26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customHeight="1" spans="1:26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customHeight="1" spans="1:26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customHeight="1" spans="1:26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customHeight="1" spans="1:26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customHeight="1" spans="1:2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customHeight="1" spans="1:26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customHeight="1" spans="1:26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customHeight="1" spans="1:26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customHeight="1" spans="1:26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customHeight="1" spans="1:26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customHeight="1" spans="1:26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customHeight="1" spans="1:26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customHeight="1" spans="1:26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customHeight="1" spans="1:26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customHeight="1" spans="1:2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customHeight="1" spans="1:26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customHeight="1" spans="1:26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customHeight="1" spans="1:26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customHeight="1" spans="1:26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customHeight="1" spans="1:26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customHeight="1" spans="1:26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customHeight="1" spans="1:26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customHeight="1" spans="1:26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customHeight="1" spans="1:26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customHeight="1" spans="1:2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customHeight="1" spans="1:26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customHeight="1" spans="1:26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customHeight="1" spans="1:26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customHeight="1" spans="1:26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customHeight="1" spans="1:26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customHeight="1" spans="1:26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customHeight="1" spans="1:26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customHeight="1" spans="1:26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customHeight="1" spans="1:26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customHeight="1" spans="1:2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customHeight="1" spans="1:26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customHeight="1" spans="1:26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customHeight="1" spans="1:26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customHeight="1" spans="1:26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customHeight="1" spans="1:26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customHeight="1" spans="1:26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customHeight="1" spans="1:26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customHeight="1" spans="1:26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customHeight="1" spans="1:26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customHeight="1" spans="1:2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customHeight="1" spans="1:26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customHeight="1" spans="1:26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customHeight="1" spans="1:26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customHeight="1" spans="1:26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customHeight="1" spans="1:26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customHeight="1" spans="1:26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customHeight="1" spans="1:26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customHeight="1" spans="1:26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customHeight="1" spans="1:26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customHeight="1" spans="1:2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customHeight="1" spans="1:26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customHeight="1" spans="1:26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customHeight="1" spans="1:26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customHeight="1" spans="1:26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customHeight="1" spans="1:26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customHeight="1" spans="1:26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customHeight="1" spans="1:26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customHeight="1" spans="1:26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customHeight="1" spans="1:26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customHeight="1" spans="1: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customHeight="1" spans="1:26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customHeight="1" spans="1:26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customHeight="1" spans="1:26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customHeight="1" spans="1:26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customHeight="1" spans="1:26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customHeight="1" spans="1:26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customHeight="1" spans="1:26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customHeight="1" spans="1:26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customHeight="1" spans="1:26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customHeight="1" spans="1:2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customHeight="1" spans="1:26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customHeight="1" spans="1:26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customHeight="1" spans="1:26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customHeight="1" spans="1:26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customHeight="1" spans="1:26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customHeight="1" spans="1:26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customHeight="1" spans="1:26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customHeight="1" spans="1:26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customHeight="1" spans="1:26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customHeight="1" spans="1:2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customHeight="1" spans="1:26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customHeight="1" spans="1:26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customHeight="1" spans="1:26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customHeight="1" spans="1:26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customHeight="1" spans="1:26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customHeight="1" spans="1:26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customHeight="1" spans="1:26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customHeight="1" spans="1:26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customHeight="1" spans="1:26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customHeight="1" spans="1:2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customHeight="1" spans="1:26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customHeight="1" spans="1:26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customHeight="1" spans="1:26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customHeight="1" spans="1:26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customHeight="1" spans="1:26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customHeight="1" spans="1:26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customHeight="1" spans="1:26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customHeight="1" spans="1:26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customHeight="1" spans="1:26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customHeight="1" spans="1:2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customHeight="1" spans="1:26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customHeight="1" spans="1:26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customHeight="1" spans="1:26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customHeight="1" spans="1:26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customHeight="1" spans="1:26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customHeight="1" spans="1:26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customHeight="1" spans="1:26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customHeight="1" spans="1:26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customHeight="1" spans="1:26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customHeight="1" spans="1:2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customHeight="1" spans="1:26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customHeight="1" spans="1:26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customHeight="1" spans="1:26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customHeight="1" spans="1:26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customHeight="1" spans="1:26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customHeight="1" spans="1:26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customHeight="1" spans="1:26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customHeight="1" spans="1:26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customHeight="1" spans="1:26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customHeight="1" spans="1:2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customHeight="1" spans="1:26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customHeight="1" spans="1:26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customHeight="1" spans="1:26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customHeight="1" spans="1:26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customHeight="1" spans="1:26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customHeight="1" spans="1:26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customHeight="1" spans="1:26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customHeight="1" spans="1:26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customHeight="1" spans="1:26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customHeight="1" spans="1:2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customHeight="1" spans="1:26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customHeight="1" spans="1:26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customHeight="1" spans="1:26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</sheetData>
  <mergeCells count="15">
    <mergeCell ref="B3:D3"/>
    <mergeCell ref="B4:D4"/>
    <mergeCell ref="B5:D5"/>
    <mergeCell ref="A12:J12"/>
    <mergeCell ref="A15:J15"/>
    <mergeCell ref="A21:J21"/>
    <mergeCell ref="A9:A10"/>
    <mergeCell ref="B9:B10"/>
    <mergeCell ref="C9:C10"/>
    <mergeCell ref="G9:G10"/>
    <mergeCell ref="H9:H10"/>
    <mergeCell ref="I9:I10"/>
    <mergeCell ref="J9:J10"/>
    <mergeCell ref="D9:F10"/>
    <mergeCell ref="B1:D2"/>
  </mergeCells>
  <hyperlinks>
    <hyperlink ref="G13" r:id="rId1" display="TCHome1.png"/>
    <hyperlink ref="G14" r:id="rId2" display="TCHome2.png"/>
    <hyperlink ref="G16" r:id="rId3" display="TCHome3.png"/>
    <hyperlink ref="G17" r:id="rId4" display="TCHome3.png"/>
    <hyperlink ref="G18" r:id="rId5" display="TCHome5.png"/>
    <hyperlink ref="G19" r:id="rId6" display="TCHome6.png"/>
    <hyperlink ref="G20" r:id="rId7" display="TCHome7.png"/>
    <hyperlink ref="G22" r:id="rId8" display="TCHome8.png"/>
    <hyperlink ref="G23" r:id="rId9" display="TCHome9.png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0"/>
  <sheetViews>
    <sheetView workbookViewId="0">
      <selection activeCell="A1" sqref="A1"/>
    </sheetView>
  </sheetViews>
  <sheetFormatPr defaultColWidth="12.6296296296296" defaultRowHeight="15.75" customHeight="1"/>
  <cols>
    <col min="1" max="1" width="17" customWidth="1"/>
    <col min="2" max="2" width="39.3796296296296" customWidth="1"/>
    <col min="3" max="3" width="60.1296296296296" customWidth="1"/>
    <col min="6" max="6" width="57.8796296296296" customWidth="1"/>
    <col min="7" max="7" width="18.1296296296296" customWidth="1"/>
    <col min="10" max="10" width="116.37962962963" customWidth="1"/>
    <col min="11" max="11" width="16.5" customWidth="1"/>
    <col min="12" max="12" width="27" customWidth="1"/>
  </cols>
  <sheetData>
    <row r="1" customHeight="1" spans="1:12">
      <c r="A1" s="18" t="s">
        <v>0</v>
      </c>
      <c r="B1" s="19"/>
      <c r="E1" s="20"/>
      <c r="F1" s="20"/>
      <c r="G1" s="20"/>
      <c r="H1" s="20"/>
      <c r="I1" s="21"/>
      <c r="J1" s="20"/>
    </row>
    <row r="2" customHeight="1" spans="1:12">
      <c r="A2" s="20"/>
      <c r="B2" s="22"/>
      <c r="C2" s="22"/>
      <c r="D2" s="22"/>
      <c r="E2" s="20"/>
      <c r="F2" s="20"/>
      <c r="G2" s="20"/>
      <c r="H2" s="20"/>
      <c r="I2" s="21"/>
      <c r="J2" s="20"/>
    </row>
    <row r="3" customHeight="1" spans="1:12">
      <c r="A3" s="23" t="s">
        <v>133</v>
      </c>
      <c r="B3" s="24" t="s">
        <v>4</v>
      </c>
      <c r="C3" s="25"/>
      <c r="D3" s="26"/>
      <c r="E3" s="27"/>
      <c r="F3" s="27"/>
      <c r="G3" s="27"/>
      <c r="H3" s="28"/>
      <c r="I3" s="29"/>
      <c r="J3" s="29"/>
    </row>
    <row r="4" customHeight="1" spans="1:12">
      <c r="A4" s="23" t="s">
        <v>44</v>
      </c>
      <c r="B4" s="30" t="s">
        <v>32</v>
      </c>
      <c r="C4" s="25"/>
      <c r="D4" s="26"/>
      <c r="E4" s="27"/>
      <c r="F4" s="27"/>
      <c r="G4" s="27"/>
      <c r="H4" s="28"/>
      <c r="I4" s="29"/>
      <c r="J4" s="29"/>
    </row>
    <row r="5" customHeight="1" spans="1:12">
      <c r="A5" s="23" t="s">
        <v>46</v>
      </c>
      <c r="B5" s="24" t="s">
        <v>419</v>
      </c>
      <c r="C5" s="25"/>
      <c r="D5" s="26"/>
      <c r="E5" s="27"/>
      <c r="F5" s="27"/>
      <c r="G5" s="27"/>
      <c r="H5" s="28"/>
      <c r="I5" s="29"/>
      <c r="J5" s="29"/>
    </row>
    <row r="6" customHeight="1" spans="1:12">
      <c r="A6" s="31" t="s">
        <v>48</v>
      </c>
      <c r="B6" s="31">
        <v>10</v>
      </c>
      <c r="C6" s="32" t="s">
        <v>49</v>
      </c>
      <c r="D6" s="32">
        <v>0</v>
      </c>
      <c r="E6" s="28"/>
      <c r="F6" s="28"/>
      <c r="G6" s="28"/>
      <c r="H6" s="28"/>
      <c r="I6" s="29"/>
      <c r="J6" s="29"/>
    </row>
    <row r="7" customHeight="1" spans="1:12">
      <c r="A7" s="31" t="s">
        <v>50</v>
      </c>
      <c r="B7" s="31">
        <v>7</v>
      </c>
      <c r="C7" s="33" t="s">
        <v>51</v>
      </c>
      <c r="D7" s="32">
        <v>17</v>
      </c>
      <c r="E7" s="28"/>
      <c r="F7" s="28"/>
      <c r="G7" s="28"/>
      <c r="H7" s="28"/>
      <c r="I7" s="29"/>
      <c r="J7" s="29"/>
    </row>
    <row r="8" customHeight="1" spans="1:12">
      <c r="A8" s="34"/>
      <c r="B8" s="35"/>
      <c r="C8" s="35"/>
      <c r="D8" s="35"/>
      <c r="E8" s="28"/>
      <c r="F8" s="28"/>
      <c r="G8" s="28"/>
      <c r="H8" s="28"/>
      <c r="I8" s="36"/>
      <c r="J8" s="36"/>
    </row>
    <row r="9" customHeight="1" spans="1:12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  <c r="K9" s="40" t="s">
        <v>60</v>
      </c>
      <c r="L9" s="40" t="s">
        <v>61</v>
      </c>
    </row>
    <row r="10" customHeight="1" spans="1:12">
      <c r="A10" s="41"/>
      <c r="B10" s="41"/>
      <c r="C10" s="41"/>
      <c r="D10" s="42"/>
      <c r="E10" s="22"/>
      <c r="F10" s="22"/>
      <c r="G10" s="41"/>
      <c r="H10" s="41"/>
      <c r="I10" s="41"/>
      <c r="J10" s="41"/>
      <c r="K10" s="41"/>
      <c r="L10" s="41"/>
    </row>
    <row r="11" customHeight="1" spans="1:12">
      <c r="A11" s="43"/>
      <c r="B11" s="35"/>
      <c r="C11" s="35"/>
      <c r="D11" s="35"/>
      <c r="E11" s="35"/>
      <c r="F11" s="35"/>
      <c r="G11" s="35"/>
      <c r="H11" s="35"/>
      <c r="I11" s="35"/>
      <c r="J11" s="35"/>
      <c r="K11" s="25"/>
      <c r="L11" s="26"/>
    </row>
    <row r="12" customHeight="1" spans="1:12">
      <c r="A12" s="44" t="s">
        <v>420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customHeight="1" spans="1:12">
      <c r="A13" s="50" t="s">
        <v>421</v>
      </c>
      <c r="B13" s="54" t="s">
        <v>422</v>
      </c>
      <c r="C13" s="50" t="s">
        <v>423</v>
      </c>
      <c r="D13" s="55" t="s">
        <v>424</v>
      </c>
      <c r="E13" s="35"/>
      <c r="F13" s="35"/>
      <c r="G13" s="48" t="s">
        <v>425</v>
      </c>
      <c r="H13" s="49">
        <v>46134</v>
      </c>
      <c r="I13" s="50" t="s">
        <v>48</v>
      </c>
      <c r="J13" s="50" t="s">
        <v>426</v>
      </c>
      <c r="K13" s="50"/>
      <c r="L13" s="50"/>
    </row>
    <row r="14" customHeight="1" spans="1:12">
      <c r="A14" s="50" t="s">
        <v>427</v>
      </c>
      <c r="B14" s="54" t="s">
        <v>428</v>
      </c>
      <c r="C14" s="50" t="s">
        <v>429</v>
      </c>
      <c r="D14" s="55" t="s">
        <v>430</v>
      </c>
      <c r="E14" s="35"/>
      <c r="F14" s="35"/>
      <c r="G14" s="48" t="s">
        <v>431</v>
      </c>
      <c r="H14" s="49">
        <v>46134</v>
      </c>
      <c r="I14" s="50" t="s">
        <v>48</v>
      </c>
      <c r="J14" s="50" t="s">
        <v>432</v>
      </c>
      <c r="K14" s="50"/>
      <c r="L14" s="50"/>
    </row>
    <row r="15" customHeight="1" spans="1:12">
      <c r="A15" s="50" t="s">
        <v>433</v>
      </c>
      <c r="B15" s="54" t="s">
        <v>434</v>
      </c>
      <c r="C15" s="50" t="s">
        <v>435</v>
      </c>
      <c r="D15" s="56" t="s">
        <v>436</v>
      </c>
      <c r="E15" s="35"/>
      <c r="F15" s="35"/>
      <c r="G15" s="48" t="s">
        <v>437</v>
      </c>
      <c r="H15" s="49">
        <v>46134</v>
      </c>
      <c r="I15" s="50" t="s">
        <v>50</v>
      </c>
      <c r="J15" s="50" t="s">
        <v>438</v>
      </c>
      <c r="K15" s="50" t="s">
        <v>48</v>
      </c>
      <c r="L15" s="48" t="s">
        <v>439</v>
      </c>
    </row>
    <row r="16" customHeight="1" spans="1:12">
      <c r="A16" s="50" t="s">
        <v>440</v>
      </c>
      <c r="B16" s="54" t="s">
        <v>441</v>
      </c>
      <c r="C16" s="50" t="s">
        <v>442</v>
      </c>
      <c r="D16" s="57" t="s">
        <v>443</v>
      </c>
      <c r="E16" s="35"/>
      <c r="F16" s="35"/>
      <c r="G16" s="48" t="s">
        <v>444</v>
      </c>
      <c r="H16" s="49">
        <v>46134</v>
      </c>
      <c r="I16" s="50" t="s">
        <v>50</v>
      </c>
      <c r="J16" s="50" t="s">
        <v>445</v>
      </c>
      <c r="K16" s="50" t="s">
        <v>48</v>
      </c>
      <c r="L16" s="48" t="s">
        <v>446</v>
      </c>
    </row>
    <row r="17" customHeight="1" spans="1:12">
      <c r="A17" s="50" t="s">
        <v>447</v>
      </c>
      <c r="B17" s="54" t="s">
        <v>448</v>
      </c>
      <c r="C17" s="50" t="s">
        <v>449</v>
      </c>
      <c r="D17" s="57" t="s">
        <v>443</v>
      </c>
      <c r="E17" s="35"/>
      <c r="F17" s="35"/>
      <c r="G17" s="48" t="s">
        <v>450</v>
      </c>
      <c r="H17" s="49">
        <v>46134</v>
      </c>
      <c r="I17" s="50" t="s">
        <v>50</v>
      </c>
      <c r="J17" s="50" t="s">
        <v>451</v>
      </c>
      <c r="K17" s="50" t="s">
        <v>48</v>
      </c>
      <c r="L17" s="48" t="s">
        <v>452</v>
      </c>
    </row>
    <row r="18" customHeight="1" spans="1:12">
      <c r="A18" s="50" t="s">
        <v>453</v>
      </c>
      <c r="B18" s="54" t="s">
        <v>454</v>
      </c>
      <c r="C18" s="50" t="s">
        <v>455</v>
      </c>
      <c r="D18" s="55" t="s">
        <v>456</v>
      </c>
      <c r="E18" s="35"/>
      <c r="F18" s="35"/>
      <c r="G18" s="48" t="s">
        <v>457</v>
      </c>
      <c r="H18" s="49">
        <v>46134</v>
      </c>
      <c r="I18" s="50" t="s">
        <v>48</v>
      </c>
      <c r="J18" s="50" t="s">
        <v>458</v>
      </c>
      <c r="K18" s="50"/>
      <c r="L18" s="50"/>
    </row>
    <row r="19" customHeight="1" spans="1:12">
      <c r="A19" s="50" t="s">
        <v>459</v>
      </c>
      <c r="B19" s="54" t="s">
        <v>460</v>
      </c>
      <c r="C19" s="50" t="s">
        <v>461</v>
      </c>
      <c r="D19" s="55" t="s">
        <v>462</v>
      </c>
      <c r="E19" s="35"/>
      <c r="F19" s="35"/>
      <c r="G19" s="48" t="s">
        <v>463</v>
      </c>
      <c r="H19" s="49">
        <v>46134</v>
      </c>
      <c r="I19" s="50" t="s">
        <v>48</v>
      </c>
      <c r="J19" s="50" t="s">
        <v>464</v>
      </c>
      <c r="K19" s="50"/>
      <c r="L19" s="50"/>
    </row>
    <row r="20" customHeight="1" spans="1:12">
      <c r="A20" s="50" t="s">
        <v>465</v>
      </c>
      <c r="B20" s="54" t="s">
        <v>466</v>
      </c>
      <c r="C20" s="50" t="s">
        <v>467</v>
      </c>
      <c r="D20" s="55" t="s">
        <v>468</v>
      </c>
      <c r="E20" s="35"/>
      <c r="F20" s="35"/>
      <c r="G20" s="48" t="s">
        <v>469</v>
      </c>
      <c r="H20" s="49">
        <v>46134</v>
      </c>
      <c r="I20" s="50" t="s">
        <v>50</v>
      </c>
      <c r="J20" s="50" t="s">
        <v>470</v>
      </c>
      <c r="K20" s="50" t="s">
        <v>48</v>
      </c>
      <c r="L20" s="48" t="s">
        <v>471</v>
      </c>
    </row>
    <row r="21" customHeight="1" spans="1:12">
      <c r="A21" s="50" t="s">
        <v>472</v>
      </c>
      <c r="B21" s="54" t="s">
        <v>473</v>
      </c>
      <c r="C21" s="50" t="s">
        <v>474</v>
      </c>
      <c r="D21" s="55" t="s">
        <v>468</v>
      </c>
      <c r="E21" s="35"/>
      <c r="F21" s="35"/>
      <c r="G21" s="48" t="s">
        <v>475</v>
      </c>
      <c r="H21" s="49">
        <v>46134</v>
      </c>
      <c r="I21" s="50" t="s">
        <v>50</v>
      </c>
      <c r="J21" s="50" t="s">
        <v>476</v>
      </c>
      <c r="K21" s="50" t="s">
        <v>48</v>
      </c>
      <c r="L21" s="48" t="s">
        <v>477</v>
      </c>
    </row>
    <row r="22" customHeight="1" spans="1:12">
      <c r="A22" s="50" t="s">
        <v>478</v>
      </c>
      <c r="B22" s="54" t="s">
        <v>479</v>
      </c>
      <c r="C22" s="50" t="s">
        <v>480</v>
      </c>
      <c r="D22" s="55" t="s">
        <v>468</v>
      </c>
      <c r="E22" s="35"/>
      <c r="F22" s="35"/>
      <c r="G22" s="48" t="s">
        <v>481</v>
      </c>
      <c r="H22" s="49">
        <v>46134</v>
      </c>
      <c r="I22" s="50" t="s">
        <v>50</v>
      </c>
      <c r="J22" s="50" t="s">
        <v>482</v>
      </c>
      <c r="K22" s="50" t="s">
        <v>48</v>
      </c>
      <c r="L22" s="48" t="s">
        <v>483</v>
      </c>
    </row>
    <row r="23" customHeight="1" spans="1:12">
      <c r="A23" s="44" t="s">
        <v>484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customHeight="1" spans="1:12">
      <c r="A24" s="45" t="s">
        <v>485</v>
      </c>
      <c r="B24" s="45" t="s">
        <v>486</v>
      </c>
      <c r="C24" s="45" t="s">
        <v>487</v>
      </c>
      <c r="D24" s="46" t="s">
        <v>488</v>
      </c>
      <c r="E24" s="47"/>
      <c r="F24" s="47"/>
      <c r="G24" s="58" t="s">
        <v>489</v>
      </c>
      <c r="H24" s="49">
        <v>46151</v>
      </c>
      <c r="I24" s="45" t="s">
        <v>48</v>
      </c>
      <c r="J24" s="45" t="s">
        <v>490</v>
      </c>
      <c r="K24" s="45"/>
      <c r="L24" s="45"/>
    </row>
    <row r="25" customHeight="1" spans="1:12">
      <c r="A25" s="45" t="s">
        <v>491</v>
      </c>
      <c r="B25" s="45" t="s">
        <v>492</v>
      </c>
      <c r="C25" s="45" t="s">
        <v>493</v>
      </c>
      <c r="D25" s="46" t="s">
        <v>488</v>
      </c>
      <c r="E25" s="47"/>
      <c r="F25" s="47"/>
      <c r="G25" s="58" t="s">
        <v>494</v>
      </c>
      <c r="H25" s="49">
        <v>46151</v>
      </c>
      <c r="I25" s="45" t="s">
        <v>48</v>
      </c>
      <c r="J25" s="45" t="s">
        <v>495</v>
      </c>
      <c r="K25" s="45"/>
      <c r="L25" s="45"/>
    </row>
    <row r="26" customHeight="1" spans="1:12">
      <c r="A26" s="45" t="s">
        <v>496</v>
      </c>
      <c r="B26" s="45" t="s">
        <v>497</v>
      </c>
      <c r="C26" s="45" t="s">
        <v>498</v>
      </c>
      <c r="D26" s="46" t="s">
        <v>499</v>
      </c>
      <c r="E26" s="47"/>
      <c r="F26" s="47"/>
      <c r="G26" s="58" t="s">
        <v>500</v>
      </c>
      <c r="H26" s="49">
        <v>46151</v>
      </c>
      <c r="I26" s="45" t="s">
        <v>48</v>
      </c>
      <c r="J26" s="45" t="s">
        <v>501</v>
      </c>
      <c r="K26" s="45"/>
      <c r="L26" s="45"/>
    </row>
    <row r="27" customHeight="1" spans="1:12">
      <c r="A27" s="45" t="s">
        <v>502</v>
      </c>
      <c r="B27" s="45" t="s">
        <v>503</v>
      </c>
      <c r="C27" s="45" t="s">
        <v>503</v>
      </c>
      <c r="D27" s="46" t="s">
        <v>499</v>
      </c>
      <c r="E27" s="47"/>
      <c r="F27" s="47"/>
      <c r="G27" s="58" t="s">
        <v>504</v>
      </c>
      <c r="H27" s="49">
        <v>46151</v>
      </c>
      <c r="I27" s="45" t="s">
        <v>48</v>
      </c>
      <c r="J27" s="45" t="s">
        <v>505</v>
      </c>
      <c r="K27" s="45"/>
      <c r="L27" s="45"/>
    </row>
    <row r="28" customHeight="1" spans="1:12">
      <c r="A28" s="45" t="s">
        <v>506</v>
      </c>
      <c r="B28" s="45" t="s">
        <v>507</v>
      </c>
      <c r="C28" s="45" t="s">
        <v>508</v>
      </c>
      <c r="D28" s="46" t="s">
        <v>509</v>
      </c>
      <c r="E28" s="47"/>
      <c r="F28" s="47"/>
      <c r="G28" s="58" t="s">
        <v>510</v>
      </c>
      <c r="H28" s="49">
        <v>46151</v>
      </c>
      <c r="I28" s="45" t="s">
        <v>48</v>
      </c>
      <c r="J28" s="45" t="s">
        <v>511</v>
      </c>
      <c r="K28" s="45"/>
      <c r="L28" s="45"/>
    </row>
    <row r="29" customHeight="1" spans="1:12">
      <c r="A29" s="45" t="s">
        <v>512</v>
      </c>
      <c r="B29" s="45" t="s">
        <v>513</v>
      </c>
      <c r="C29" s="45" t="s">
        <v>514</v>
      </c>
      <c r="D29" s="46" t="s">
        <v>515</v>
      </c>
      <c r="E29" s="47"/>
      <c r="F29" s="47"/>
      <c r="G29" s="58" t="s">
        <v>516</v>
      </c>
      <c r="H29" s="49">
        <v>46151</v>
      </c>
      <c r="I29" s="45" t="s">
        <v>48</v>
      </c>
      <c r="J29" s="45" t="s">
        <v>517</v>
      </c>
      <c r="K29" s="45"/>
      <c r="L29" s="45"/>
    </row>
    <row r="30" customHeight="1" spans="1:12">
      <c r="A30" s="45" t="s">
        <v>518</v>
      </c>
      <c r="B30" s="45" t="s">
        <v>519</v>
      </c>
      <c r="C30" s="45" t="s">
        <v>520</v>
      </c>
      <c r="D30" s="46" t="s">
        <v>521</v>
      </c>
      <c r="E30" s="47"/>
      <c r="F30" s="47"/>
      <c r="G30" s="58" t="s">
        <v>522</v>
      </c>
      <c r="H30" s="49">
        <v>46151</v>
      </c>
      <c r="I30" s="45" t="s">
        <v>50</v>
      </c>
      <c r="J30" s="45" t="s">
        <v>523</v>
      </c>
      <c r="K30" s="45" t="s">
        <v>48</v>
      </c>
      <c r="L30" s="58" t="s">
        <v>524</v>
      </c>
    </row>
  </sheetData>
  <mergeCells count="17">
    <mergeCell ref="B3:D3"/>
    <mergeCell ref="B4:D4"/>
    <mergeCell ref="B5:D5"/>
    <mergeCell ref="J11:L11"/>
    <mergeCell ref="A12:L12"/>
    <mergeCell ref="A23:L23"/>
    <mergeCell ref="A9:A10"/>
    <mergeCell ref="B9:B10"/>
    <mergeCell ref="C9:C10"/>
    <mergeCell ref="G9:G10"/>
    <mergeCell ref="H9:H10"/>
    <mergeCell ref="I9:I10"/>
    <mergeCell ref="J9:J10"/>
    <mergeCell ref="K9:K10"/>
    <mergeCell ref="L9:L10"/>
    <mergeCell ref="B1:D2"/>
    <mergeCell ref="D9:F10"/>
  </mergeCells>
  <hyperlinks>
    <hyperlink ref="G13" r:id="rId1" display="TCAPIPro1.png"/>
    <hyperlink ref="G14" r:id="rId2" display="TCAPIPro2.png"/>
    <hyperlink ref="G15" r:id="rId3" display="TCAPIPro3.png"/>
    <hyperlink ref="L15" r:id="rId4" display="TCAPIPro3SauRetest.png"/>
    <hyperlink ref="G16" r:id="rId5" display="TCAPIPro4.png"/>
    <hyperlink ref="L16" r:id="rId6" display="TCAPIPro4SauRetest.png"/>
    <hyperlink ref="G17" r:id="rId7" display="TCAPIPro5.png"/>
    <hyperlink ref="L17" r:id="rId8" display="TCAPIPro5SauRetest.png"/>
    <hyperlink ref="G18" r:id="rId9" display="TCAPIPro6.png"/>
    <hyperlink ref="G19" r:id="rId10" display="TCAPIPro7.png"/>
    <hyperlink ref="G20" r:id="rId11" display="TCAPIPro8.png"/>
    <hyperlink ref="L20" r:id="rId12" display="TCAPIPro8SauRetest.png"/>
    <hyperlink ref="G21" r:id="rId13" display="TCAPIPro9.png"/>
    <hyperlink ref="L21" r:id="rId14" display="TCAPIPro9SauRetest.png"/>
    <hyperlink ref="G22" r:id="rId15" display="TCAPIPro10.png"/>
    <hyperlink ref="L22" r:id="rId16" display="TCAPIPro10SauRetest.png"/>
    <hyperlink ref="G24" r:id="rId17" display="TCAPIPro11.png"/>
    <hyperlink ref="G25" r:id="rId18" display="TCAPIPro12.png"/>
    <hyperlink ref="G26" r:id="rId19" display="TCAPIPro13.png"/>
    <hyperlink ref="G27" r:id="rId20" display="TCAPIPro14.png"/>
    <hyperlink ref="G28" r:id="rId21" display="TCAPIPro15.png"/>
    <hyperlink ref="G29" r:id="rId22" display="TCAPIPro16.png"/>
    <hyperlink ref="G30" r:id="rId23" display="TCAPIPro17.png"/>
    <hyperlink ref="L30" r:id="rId24" display="TCAPIPro17SauRetest.png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2"/>
  <sheetViews>
    <sheetView workbookViewId="0">
      <selection activeCell="A1" sqref="A1"/>
    </sheetView>
  </sheetViews>
  <sheetFormatPr defaultColWidth="12.6296296296296" defaultRowHeight="15.75" customHeight="1"/>
  <cols>
    <col min="2" max="2" width="45.25" customWidth="1"/>
    <col min="3" max="3" width="64.6296296296296" customWidth="1"/>
    <col min="4" max="4" width="30.1296296296296" customWidth="1"/>
    <col min="6" max="6" width="41.3796296296296" customWidth="1"/>
    <col min="7" max="7" width="20.3796296296296" customWidth="1"/>
    <col min="10" max="10" width="42.75" customWidth="1"/>
    <col min="11" max="11" width="16.6296296296296" customWidth="1"/>
    <col min="12" max="12" width="23.6296296296296" customWidth="1"/>
  </cols>
  <sheetData>
    <row r="1" customHeight="1" spans="1:12">
      <c r="A1" s="18" t="s">
        <v>0</v>
      </c>
      <c r="B1" s="19"/>
      <c r="E1" s="20"/>
      <c r="F1" s="20"/>
      <c r="G1" s="20"/>
      <c r="H1" s="20"/>
      <c r="I1" s="21"/>
      <c r="J1" s="20"/>
    </row>
    <row r="2" customHeight="1" spans="1:12">
      <c r="A2" s="20"/>
      <c r="B2" s="22"/>
      <c r="C2" s="22"/>
      <c r="D2" s="22"/>
      <c r="E2" s="20"/>
      <c r="F2" s="20"/>
      <c r="G2" s="20"/>
      <c r="H2" s="20"/>
      <c r="I2" s="21"/>
      <c r="J2" s="20"/>
    </row>
    <row r="3" customHeight="1" spans="1:12">
      <c r="A3" s="23" t="s">
        <v>133</v>
      </c>
      <c r="B3" s="24" t="s">
        <v>4</v>
      </c>
      <c r="C3" s="25"/>
      <c r="D3" s="26"/>
      <c r="E3" s="27"/>
      <c r="F3" s="27"/>
      <c r="G3" s="27"/>
      <c r="H3" s="28"/>
      <c r="I3" s="29"/>
      <c r="J3" s="29"/>
    </row>
    <row r="4" customHeight="1" spans="1:12">
      <c r="A4" s="23" t="s">
        <v>44</v>
      </c>
      <c r="B4" s="30" t="s">
        <v>42</v>
      </c>
      <c r="C4" s="25"/>
      <c r="D4" s="26"/>
      <c r="E4" s="27"/>
      <c r="F4" s="27"/>
      <c r="G4" s="27"/>
      <c r="H4" s="28"/>
      <c r="I4" s="29"/>
      <c r="J4" s="29"/>
    </row>
    <row r="5" customHeight="1" spans="1:12">
      <c r="A5" s="23" t="s">
        <v>46</v>
      </c>
      <c r="B5" s="24" t="s">
        <v>525</v>
      </c>
      <c r="C5" s="25"/>
      <c r="D5" s="26"/>
      <c r="E5" s="27"/>
      <c r="F5" s="27"/>
      <c r="G5" s="27"/>
      <c r="H5" s="28"/>
      <c r="I5" s="29"/>
      <c r="J5" s="29"/>
    </row>
    <row r="6" customHeight="1" spans="1:12">
      <c r="A6" s="31" t="s">
        <v>48</v>
      </c>
      <c r="B6" s="31">
        <v>16</v>
      </c>
      <c r="C6" s="32" t="s">
        <v>49</v>
      </c>
      <c r="D6" s="32">
        <v>0</v>
      </c>
      <c r="E6" s="28"/>
      <c r="F6" s="28"/>
      <c r="G6" s="28"/>
      <c r="H6" s="28"/>
      <c r="I6" s="29"/>
      <c r="J6" s="29"/>
    </row>
    <row r="7" customHeight="1" spans="1:12">
      <c r="A7" s="31" t="s">
        <v>50</v>
      </c>
      <c r="B7" s="31">
        <v>1</v>
      </c>
      <c r="C7" s="33" t="s">
        <v>51</v>
      </c>
      <c r="D7" s="32">
        <v>17</v>
      </c>
      <c r="E7" s="28"/>
      <c r="F7" s="28"/>
      <c r="G7" s="28"/>
      <c r="H7" s="28"/>
      <c r="I7" s="29"/>
      <c r="J7" s="29"/>
    </row>
    <row r="8" customHeight="1" spans="1:12">
      <c r="A8" s="34"/>
      <c r="B8" s="35"/>
      <c r="C8" s="35"/>
      <c r="D8" s="35"/>
      <c r="E8" s="28"/>
      <c r="F8" s="28"/>
      <c r="G8" s="28"/>
      <c r="H8" s="28"/>
      <c r="I8" s="36"/>
      <c r="J8" s="36"/>
    </row>
    <row r="9" customHeight="1" spans="1:12">
      <c r="A9" s="37" t="s">
        <v>52</v>
      </c>
      <c r="B9" s="38" t="s">
        <v>53</v>
      </c>
      <c r="C9" s="37" t="s">
        <v>54</v>
      </c>
      <c r="D9" s="39" t="s">
        <v>55</v>
      </c>
      <c r="G9" s="37" t="s">
        <v>56</v>
      </c>
      <c r="H9" s="40" t="s">
        <v>57</v>
      </c>
      <c r="I9" s="40" t="s">
        <v>58</v>
      </c>
      <c r="J9" s="40" t="s">
        <v>59</v>
      </c>
      <c r="K9" s="40" t="s">
        <v>60</v>
      </c>
      <c r="L9" s="40" t="s">
        <v>61</v>
      </c>
    </row>
    <row r="10" customHeight="1" spans="1:12">
      <c r="A10" s="41"/>
      <c r="B10" s="41"/>
      <c r="C10" s="41"/>
      <c r="D10" s="42"/>
      <c r="E10" s="22"/>
      <c r="F10" s="22"/>
      <c r="G10" s="41"/>
      <c r="H10" s="41"/>
      <c r="I10" s="41"/>
      <c r="J10" s="41"/>
      <c r="K10" s="41"/>
      <c r="L10" s="41"/>
    </row>
    <row r="11" customHeight="1" spans="1:12">
      <c r="A11" s="43"/>
      <c r="B11" s="35"/>
      <c r="C11" s="35"/>
      <c r="D11" s="35"/>
      <c r="E11" s="35"/>
      <c r="F11" s="35"/>
      <c r="G11" s="35"/>
      <c r="H11" s="35"/>
      <c r="I11" s="35"/>
      <c r="J11" s="35"/>
      <c r="K11" s="25"/>
      <c r="L11" s="26"/>
    </row>
    <row r="12" customHeight="1" spans="1:12">
      <c r="A12" s="44" t="s">
        <v>194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customHeight="1" spans="1:12">
      <c r="A13" s="45" t="s">
        <v>526</v>
      </c>
      <c r="B13" s="45" t="s">
        <v>527</v>
      </c>
      <c r="C13" s="45" t="s">
        <v>528</v>
      </c>
      <c r="D13" s="46" t="s">
        <v>529</v>
      </c>
      <c r="E13" s="47"/>
      <c r="F13" s="47"/>
      <c r="G13" s="48" t="s">
        <v>530</v>
      </c>
      <c r="H13" s="49">
        <v>46152</v>
      </c>
      <c r="I13" s="50" t="s">
        <v>48</v>
      </c>
      <c r="J13" s="50" t="s">
        <v>531</v>
      </c>
      <c r="K13" s="50"/>
      <c r="L13" s="50"/>
    </row>
    <row r="14" customHeight="1" spans="1:12">
      <c r="A14" s="45" t="s">
        <v>532</v>
      </c>
      <c r="B14" s="45" t="s">
        <v>533</v>
      </c>
      <c r="C14" s="45" t="s">
        <v>534</v>
      </c>
      <c r="D14" s="46" t="s">
        <v>535</v>
      </c>
      <c r="E14" s="47"/>
      <c r="F14" s="47"/>
      <c r="G14" s="48" t="s">
        <v>536</v>
      </c>
      <c r="H14" s="49">
        <v>46152</v>
      </c>
      <c r="I14" s="50" t="s">
        <v>48</v>
      </c>
      <c r="J14" s="50" t="s">
        <v>537</v>
      </c>
      <c r="K14" s="50"/>
      <c r="L14" s="50"/>
    </row>
    <row r="15" customHeight="1" spans="1:12">
      <c r="A15" s="45" t="s">
        <v>538</v>
      </c>
      <c r="B15" s="45" t="s">
        <v>539</v>
      </c>
      <c r="C15" s="45" t="s">
        <v>540</v>
      </c>
      <c r="D15" s="46" t="s">
        <v>541</v>
      </c>
      <c r="E15" s="47"/>
      <c r="F15" s="47"/>
      <c r="G15" s="48" t="s">
        <v>542</v>
      </c>
      <c r="H15" s="49">
        <v>46152</v>
      </c>
      <c r="I15" s="50" t="s">
        <v>48</v>
      </c>
      <c r="J15" s="50" t="s">
        <v>543</v>
      </c>
      <c r="K15" s="50"/>
      <c r="L15" s="50"/>
    </row>
    <row r="16" customHeight="1" spans="1:12">
      <c r="A16" s="44" t="s">
        <v>544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customHeight="1" spans="1:12">
      <c r="A17" s="45" t="s">
        <v>545</v>
      </c>
      <c r="B17" s="45" t="s">
        <v>546</v>
      </c>
      <c r="C17" s="50" t="s">
        <v>547</v>
      </c>
      <c r="D17" s="46" t="s">
        <v>548</v>
      </c>
      <c r="E17" s="47"/>
      <c r="F17" s="47"/>
      <c r="G17" s="48" t="s">
        <v>549</v>
      </c>
      <c r="H17" s="49">
        <v>46136</v>
      </c>
      <c r="I17" s="50" t="s">
        <v>50</v>
      </c>
      <c r="J17" s="50" t="s">
        <v>550</v>
      </c>
      <c r="K17" s="50" t="s">
        <v>48</v>
      </c>
      <c r="L17" s="48" t="s">
        <v>551</v>
      </c>
    </row>
    <row r="18" customHeight="1" spans="1:12">
      <c r="A18" s="45" t="s">
        <v>552</v>
      </c>
      <c r="B18" s="45" t="s">
        <v>553</v>
      </c>
      <c r="C18" s="45" t="s">
        <v>554</v>
      </c>
      <c r="D18" s="46" t="s">
        <v>555</v>
      </c>
      <c r="E18" s="47"/>
      <c r="F18" s="47"/>
      <c r="G18" s="48" t="s">
        <v>556</v>
      </c>
      <c r="H18" s="49">
        <v>46152</v>
      </c>
      <c r="I18" s="50" t="s">
        <v>48</v>
      </c>
      <c r="J18" s="50" t="s">
        <v>557</v>
      </c>
      <c r="K18" s="50"/>
      <c r="L18" s="50"/>
    </row>
    <row r="19" customHeight="1" spans="1:12">
      <c r="A19" s="45" t="s">
        <v>558</v>
      </c>
      <c r="B19" s="45" t="s">
        <v>559</v>
      </c>
      <c r="C19" s="51" t="s">
        <v>560</v>
      </c>
      <c r="D19" s="46" t="s">
        <v>561</v>
      </c>
      <c r="E19" s="47"/>
      <c r="F19" s="47"/>
      <c r="G19" s="48" t="s">
        <v>562</v>
      </c>
      <c r="H19" s="49">
        <v>46152</v>
      </c>
      <c r="I19" s="50" t="s">
        <v>48</v>
      </c>
      <c r="J19" s="50" t="s">
        <v>563</v>
      </c>
      <c r="K19" s="50"/>
      <c r="L19" s="50"/>
    </row>
    <row r="20" customHeight="1" spans="1:12">
      <c r="A20" s="45" t="s">
        <v>564</v>
      </c>
      <c r="B20" s="45" t="s">
        <v>565</v>
      </c>
      <c r="C20" s="45" t="s">
        <v>566</v>
      </c>
      <c r="D20" s="46" t="s">
        <v>561</v>
      </c>
      <c r="E20" s="47"/>
      <c r="F20" s="47"/>
      <c r="G20" s="48" t="s">
        <v>567</v>
      </c>
      <c r="H20" s="49">
        <v>46152</v>
      </c>
      <c r="I20" s="50" t="s">
        <v>48</v>
      </c>
      <c r="J20" s="50" t="s">
        <v>568</v>
      </c>
      <c r="K20" s="50"/>
      <c r="L20" s="50"/>
    </row>
    <row r="21" customHeight="1" spans="1:12">
      <c r="A21" s="45" t="s">
        <v>569</v>
      </c>
      <c r="B21" s="45" t="s">
        <v>570</v>
      </c>
      <c r="C21" s="45" t="s">
        <v>571</v>
      </c>
      <c r="D21" s="46" t="s">
        <v>561</v>
      </c>
      <c r="E21" s="47"/>
      <c r="F21" s="47"/>
      <c r="G21" s="48" t="s">
        <v>572</v>
      </c>
      <c r="H21" s="49">
        <v>46152</v>
      </c>
      <c r="I21" s="50" t="s">
        <v>48</v>
      </c>
      <c r="J21" s="50" t="s">
        <v>573</v>
      </c>
      <c r="K21" s="50"/>
      <c r="L21" s="50"/>
    </row>
    <row r="22" customHeight="1" spans="1:12">
      <c r="A22" s="45" t="s">
        <v>574</v>
      </c>
      <c r="B22" s="45" t="s">
        <v>575</v>
      </c>
      <c r="C22" s="45" t="s">
        <v>576</v>
      </c>
      <c r="D22" s="46" t="s">
        <v>577</v>
      </c>
      <c r="E22" s="47"/>
      <c r="F22" s="47"/>
      <c r="G22" s="48" t="s">
        <v>578</v>
      </c>
      <c r="H22" s="49">
        <v>46152</v>
      </c>
      <c r="I22" s="50" t="s">
        <v>48</v>
      </c>
      <c r="J22" s="50" t="s">
        <v>579</v>
      </c>
      <c r="K22" s="50"/>
      <c r="L22" s="50"/>
    </row>
    <row r="23" customHeight="1" spans="1:12">
      <c r="A23" s="44" t="s">
        <v>580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customHeight="1" spans="1:12">
      <c r="A24" s="45" t="s">
        <v>581</v>
      </c>
      <c r="B24" s="45" t="s">
        <v>582</v>
      </c>
      <c r="C24" s="45" t="s">
        <v>583</v>
      </c>
      <c r="D24" s="46" t="s">
        <v>584</v>
      </c>
      <c r="E24" s="47"/>
      <c r="F24" s="47"/>
      <c r="G24" s="48" t="s">
        <v>585</v>
      </c>
      <c r="H24" s="49">
        <v>46152</v>
      </c>
      <c r="I24" s="50" t="s">
        <v>48</v>
      </c>
      <c r="J24" s="50" t="s">
        <v>586</v>
      </c>
      <c r="K24" s="50"/>
      <c r="L24" s="50"/>
    </row>
    <row r="25" customHeight="1" spans="1:12">
      <c r="A25" s="45" t="s">
        <v>587</v>
      </c>
      <c r="B25" s="45" t="s">
        <v>588</v>
      </c>
      <c r="C25" s="45" t="s">
        <v>589</v>
      </c>
      <c r="D25" s="46" t="s">
        <v>590</v>
      </c>
      <c r="E25" s="47"/>
      <c r="F25" s="47"/>
      <c r="G25" s="48" t="s">
        <v>591</v>
      </c>
      <c r="H25" s="49">
        <v>46152</v>
      </c>
      <c r="I25" s="50" t="s">
        <v>48</v>
      </c>
      <c r="J25" s="50" t="s">
        <v>592</v>
      </c>
      <c r="K25" s="50"/>
      <c r="L25" s="50"/>
    </row>
    <row r="26" customHeight="1" spans="1:12">
      <c r="A26" s="44" t="s">
        <v>593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customHeight="1" spans="1:12">
      <c r="A27" s="45" t="s">
        <v>594</v>
      </c>
      <c r="B27" s="45" t="s">
        <v>595</v>
      </c>
      <c r="C27" s="50" t="s">
        <v>596</v>
      </c>
      <c r="D27" s="46" t="s">
        <v>597</v>
      </c>
      <c r="E27" s="47"/>
      <c r="F27" s="52"/>
      <c r="G27" s="53" t="s">
        <v>598</v>
      </c>
      <c r="H27" s="49">
        <v>46152</v>
      </c>
      <c r="I27" s="50" t="s">
        <v>48</v>
      </c>
      <c r="J27" s="50" t="s">
        <v>599</v>
      </c>
      <c r="K27" s="50"/>
      <c r="L27" s="50"/>
    </row>
    <row r="28" customHeight="1" spans="1:12">
      <c r="A28" s="45" t="s">
        <v>600</v>
      </c>
      <c r="B28" s="45" t="s">
        <v>601</v>
      </c>
      <c r="C28" s="45" t="s">
        <v>602</v>
      </c>
      <c r="D28" s="46" t="s">
        <v>603</v>
      </c>
      <c r="E28" s="47"/>
      <c r="F28" s="47"/>
      <c r="G28" s="48" t="s">
        <v>604</v>
      </c>
      <c r="H28" s="49">
        <v>46152</v>
      </c>
      <c r="I28" s="50" t="s">
        <v>48</v>
      </c>
      <c r="J28" s="50" t="s">
        <v>605</v>
      </c>
      <c r="K28" s="50"/>
      <c r="L28" s="50"/>
    </row>
    <row r="29" customHeight="1" spans="1:12">
      <c r="A29" s="45" t="s">
        <v>606</v>
      </c>
      <c r="B29" s="45" t="s">
        <v>607</v>
      </c>
      <c r="C29" s="45" t="s">
        <v>608</v>
      </c>
      <c r="D29" s="46" t="s">
        <v>609</v>
      </c>
      <c r="E29" s="47"/>
      <c r="F29" s="47"/>
      <c r="G29" s="48" t="s">
        <v>610</v>
      </c>
      <c r="H29" s="49">
        <v>46152</v>
      </c>
      <c r="I29" s="50" t="s">
        <v>48</v>
      </c>
      <c r="J29" s="50" t="s">
        <v>611</v>
      </c>
      <c r="K29" s="50"/>
      <c r="L29" s="50"/>
    </row>
    <row r="30" customHeight="1" spans="1:12">
      <c r="A30" s="45" t="s">
        <v>612</v>
      </c>
      <c r="B30" s="45" t="s">
        <v>613</v>
      </c>
      <c r="C30" s="45" t="s">
        <v>614</v>
      </c>
      <c r="D30" s="46" t="s">
        <v>609</v>
      </c>
      <c r="E30" s="47"/>
      <c r="F30" s="47"/>
      <c r="G30" s="48" t="s">
        <v>615</v>
      </c>
      <c r="H30" s="49">
        <v>46152</v>
      </c>
      <c r="I30" s="50" t="s">
        <v>48</v>
      </c>
      <c r="J30" s="50" t="s">
        <v>616</v>
      </c>
      <c r="K30" s="50"/>
      <c r="L30" s="50"/>
    </row>
    <row r="31" customHeight="1" spans="1:12">
      <c r="A31" s="45" t="s">
        <v>617</v>
      </c>
      <c r="B31" s="45" t="s">
        <v>618</v>
      </c>
      <c r="C31" s="45" t="s">
        <v>619</v>
      </c>
      <c r="D31" s="46" t="s">
        <v>620</v>
      </c>
      <c r="E31" s="47"/>
      <c r="F31" s="47"/>
      <c r="G31" s="48" t="s">
        <v>621</v>
      </c>
      <c r="H31" s="49">
        <v>46152</v>
      </c>
      <c r="I31" s="50" t="s">
        <v>48</v>
      </c>
      <c r="J31" s="50" t="s">
        <v>622</v>
      </c>
      <c r="K31" s="50"/>
      <c r="L31" s="50"/>
    </row>
    <row r="32" customHeight="1" spans="1:12">
      <c r="A32" s="45" t="s">
        <v>623</v>
      </c>
      <c r="B32" s="45" t="s">
        <v>624</v>
      </c>
      <c r="C32" s="45" t="s">
        <v>625</v>
      </c>
      <c r="D32" s="46" t="s">
        <v>626</v>
      </c>
      <c r="E32" s="47"/>
      <c r="F32" s="47"/>
      <c r="G32" s="48" t="s">
        <v>627</v>
      </c>
      <c r="H32" s="49">
        <v>46152</v>
      </c>
      <c r="I32" s="50" t="s">
        <v>48</v>
      </c>
      <c r="J32" s="50" t="s">
        <v>628</v>
      </c>
      <c r="K32" s="50"/>
      <c r="L32" s="50"/>
    </row>
  </sheetData>
  <mergeCells count="19">
    <mergeCell ref="B3:D3"/>
    <mergeCell ref="B4:D4"/>
    <mergeCell ref="B5:D5"/>
    <mergeCell ref="J11:L11"/>
    <mergeCell ref="A12:L12"/>
    <mergeCell ref="A16:L16"/>
    <mergeCell ref="A23:L23"/>
    <mergeCell ref="A26:L26"/>
    <mergeCell ref="A9:A10"/>
    <mergeCell ref="B9:B10"/>
    <mergeCell ref="C9:C10"/>
    <mergeCell ref="G9:G10"/>
    <mergeCell ref="H9:H10"/>
    <mergeCell ref="I9:I10"/>
    <mergeCell ref="J9:J10"/>
    <mergeCell ref="K9:K10"/>
    <mergeCell ref="L9:L10"/>
    <mergeCell ref="B1:D2"/>
    <mergeCell ref="D9:F10"/>
  </mergeCells>
  <hyperlinks>
    <hyperlink ref="G13" r:id="rId1" display="TCAPIOrd1.png"/>
    <hyperlink ref="G14" r:id="rId2" display="TCAPIOrd2.png"/>
    <hyperlink ref="G15" r:id="rId3" display="TCAPIOrd3.png"/>
    <hyperlink ref="G17" r:id="rId4" display="TCAPIOrd4.png"/>
    <hyperlink ref="L17" r:id="rId5" display="TCAPIOrd4SauRetest.png"/>
    <hyperlink ref="G18" r:id="rId6" display="TCAPIOrd5.png"/>
    <hyperlink ref="G19" r:id="rId7" display="TCAPIOrd6.png"/>
    <hyperlink ref="G20" r:id="rId8" display="TCAPIOrd7.png"/>
    <hyperlink ref="G21" r:id="rId9" display="TCAPIOrd8.png"/>
    <hyperlink ref="G22" r:id="rId10" display="TCAPIOrd9.png"/>
    <hyperlink ref="G24" r:id="rId11" display="TCAPIOrd10.png"/>
    <hyperlink ref="G25" r:id="rId12" display="TCAPIOrd11.png"/>
    <hyperlink ref="G27" r:id="rId13" display="TCAPIOrd12.png"/>
    <hyperlink ref="G28" r:id="rId14" display="TCAPIOrd13.png"/>
    <hyperlink ref="G29" r:id="rId15" display="TCAPIOrd14.png"/>
    <hyperlink ref="G30" r:id="rId16" display="TCAPIOrd15.png"/>
    <hyperlink ref="G31" r:id="rId17" display="TCAPIOrd16.png"/>
    <hyperlink ref="G32" r:id="rId18" display="TCAPIOrd17.png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9"/>
  <sheetViews>
    <sheetView workbookViewId="0">
      <selection activeCell="A1" sqref="A1"/>
    </sheetView>
  </sheetViews>
  <sheetFormatPr defaultColWidth="12.6296296296296" defaultRowHeight="15.75" customHeight="1" outlineLevelCol="6"/>
  <cols>
    <col min="1" max="1" width="25" customWidth="1"/>
    <col min="3" max="3" width="22.6296296296296" customWidth="1"/>
    <col min="7" max="7" width="19.1296296296296" customWidth="1"/>
  </cols>
  <sheetData>
    <row r="1" customHeight="1" spans="1:7">
      <c r="A1" s="1" t="s">
        <v>629</v>
      </c>
      <c r="B1" s="2"/>
      <c r="C1" s="3"/>
      <c r="D1" s="3"/>
      <c r="E1" s="3"/>
      <c r="F1" s="3"/>
      <c r="G1" s="3"/>
    </row>
    <row r="2" customHeight="1" spans="1:7">
      <c r="A2" s="1"/>
      <c r="B2" s="2"/>
      <c r="C2" s="3"/>
      <c r="D2" s="3"/>
      <c r="E2" s="3"/>
      <c r="F2" s="3"/>
      <c r="G2" s="3"/>
    </row>
    <row r="3" customHeight="1" spans="1:7">
      <c r="A3" s="4"/>
      <c r="B3" s="3" t="s">
        <v>630</v>
      </c>
      <c r="C3" s="3" t="s">
        <v>631</v>
      </c>
      <c r="D3" s="3"/>
      <c r="E3" s="3"/>
      <c r="F3" s="3"/>
      <c r="G3" s="3"/>
    </row>
    <row r="4" customHeight="1" spans="1:7">
      <c r="A4" s="4"/>
      <c r="B4" s="3" t="s">
        <v>632</v>
      </c>
      <c r="C4" s="5">
        <v>46162</v>
      </c>
      <c r="D4" s="3"/>
      <c r="E4" s="3"/>
      <c r="F4" s="3"/>
      <c r="G4" s="3"/>
    </row>
    <row r="5" customHeight="1" spans="1:7">
      <c r="A5" s="3"/>
      <c r="B5" s="3"/>
      <c r="C5" s="3"/>
      <c r="D5" s="3"/>
      <c r="E5" s="3"/>
      <c r="F5" s="3"/>
      <c r="G5" s="3"/>
    </row>
    <row r="6" customHeight="1" spans="1:7">
      <c r="A6" s="3"/>
      <c r="B6" s="3"/>
      <c r="C6" s="3"/>
      <c r="D6" s="3"/>
      <c r="E6" s="3"/>
      <c r="F6" s="3"/>
      <c r="G6" s="3"/>
    </row>
    <row r="7" customHeight="1" spans="1:7">
      <c r="A7" s="3"/>
      <c r="B7" s="6" t="s">
        <v>633</v>
      </c>
      <c r="C7" s="7" t="s">
        <v>634</v>
      </c>
      <c r="D7" s="7" t="s">
        <v>48</v>
      </c>
      <c r="E7" s="7" t="s">
        <v>50</v>
      </c>
      <c r="F7" s="7" t="s">
        <v>49</v>
      </c>
      <c r="G7" s="8" t="s">
        <v>635</v>
      </c>
    </row>
    <row r="8" customHeight="1" spans="1:7">
      <c r="A8" s="3"/>
      <c r="B8" s="9">
        <v>1</v>
      </c>
      <c r="C8" s="10" t="s">
        <v>636</v>
      </c>
      <c r="D8" s="11">
        <v>8</v>
      </c>
      <c r="E8" s="10">
        <v>3</v>
      </c>
      <c r="F8" s="10">
        <v>0</v>
      </c>
      <c r="G8" s="11">
        <v>11</v>
      </c>
    </row>
    <row r="9" customHeight="1" spans="1:7">
      <c r="A9" s="3"/>
      <c r="B9" s="9">
        <v>2</v>
      </c>
      <c r="C9" s="10" t="s">
        <v>637</v>
      </c>
      <c r="D9" s="10">
        <v>8</v>
      </c>
      <c r="E9" s="10">
        <v>1</v>
      </c>
      <c r="F9" s="10">
        <v>0</v>
      </c>
      <c r="G9" s="11">
        <v>9</v>
      </c>
    </row>
    <row r="10" customHeight="1" spans="1:7">
      <c r="A10" s="3"/>
      <c r="B10" s="9">
        <v>3</v>
      </c>
      <c r="C10" s="10" t="s">
        <v>638</v>
      </c>
      <c r="D10" s="12">
        <v>5</v>
      </c>
      <c r="E10" s="10">
        <v>1</v>
      </c>
      <c r="F10" s="10">
        <v>0</v>
      </c>
      <c r="G10" s="11">
        <v>6</v>
      </c>
    </row>
    <row r="11" customHeight="1" spans="1:7">
      <c r="A11" s="3"/>
      <c r="B11" s="9">
        <v>4</v>
      </c>
      <c r="C11" s="10" t="s">
        <v>639</v>
      </c>
      <c r="D11" s="12">
        <v>4</v>
      </c>
      <c r="E11" s="10">
        <v>8</v>
      </c>
      <c r="F11" s="10">
        <v>0</v>
      </c>
      <c r="G11" s="11">
        <v>12</v>
      </c>
    </row>
    <row r="12" customHeight="1" spans="1:7">
      <c r="A12" s="3"/>
      <c r="B12" s="9">
        <v>5</v>
      </c>
      <c r="C12" s="10" t="s">
        <v>640</v>
      </c>
      <c r="D12" s="12">
        <v>7</v>
      </c>
      <c r="E12" s="10">
        <v>0</v>
      </c>
      <c r="F12" s="10">
        <v>0</v>
      </c>
      <c r="G12" s="11">
        <v>7</v>
      </c>
    </row>
    <row r="13" customHeight="1" spans="1:7">
      <c r="A13" s="3"/>
      <c r="B13" s="9">
        <v>6</v>
      </c>
      <c r="C13" s="10" t="s">
        <v>26</v>
      </c>
      <c r="D13" s="12">
        <v>9</v>
      </c>
      <c r="E13" s="10">
        <v>0</v>
      </c>
      <c r="F13" s="10">
        <v>0</v>
      </c>
      <c r="G13" s="11">
        <v>9</v>
      </c>
    </row>
    <row r="14" customHeight="1" spans="1:7">
      <c r="A14" s="3"/>
      <c r="B14" s="9">
        <v>7</v>
      </c>
      <c r="C14" s="10" t="s">
        <v>641</v>
      </c>
      <c r="D14" s="12">
        <v>10</v>
      </c>
      <c r="E14" s="10">
        <v>7</v>
      </c>
      <c r="F14" s="10">
        <v>0</v>
      </c>
      <c r="G14" s="11">
        <v>17</v>
      </c>
    </row>
    <row r="15" customHeight="1" spans="1:7">
      <c r="A15" s="3"/>
      <c r="B15" s="9">
        <v>8</v>
      </c>
      <c r="C15" s="10" t="s">
        <v>642</v>
      </c>
      <c r="D15" s="12">
        <v>16</v>
      </c>
      <c r="E15" s="10">
        <v>1</v>
      </c>
      <c r="F15" s="10">
        <v>0</v>
      </c>
      <c r="G15" s="11">
        <v>17</v>
      </c>
    </row>
    <row r="16" customHeight="1" spans="1:7">
      <c r="A16" s="3"/>
      <c r="B16" s="13"/>
      <c r="C16" s="14" t="s">
        <v>643</v>
      </c>
      <c r="D16" s="15">
        <f>D8+D9+D10+D11+D12+D13+D14+D15</f>
        <v>67</v>
      </c>
      <c r="E16" s="15">
        <f>SUM(E8:E15)</f>
        <v>21</v>
      </c>
      <c r="F16" s="15">
        <v>0</v>
      </c>
      <c r="G16" s="16">
        <f>SUM(G8:G15)</f>
        <v>88</v>
      </c>
    </row>
    <row r="17" customHeight="1" spans="1:7">
      <c r="A17" s="3"/>
      <c r="B17" s="10"/>
      <c r="C17" s="3"/>
      <c r="D17" s="10"/>
      <c r="E17" s="10"/>
      <c r="F17" s="10"/>
      <c r="G17" s="10"/>
    </row>
    <row r="18" customHeight="1" spans="1:7">
      <c r="A18" s="3"/>
      <c r="B18" s="3"/>
      <c r="C18" s="3" t="s">
        <v>644</v>
      </c>
      <c r="D18" s="3"/>
      <c r="E18" s="17">
        <f>((D16+E16)/G16)*100</f>
        <v>100</v>
      </c>
      <c r="F18" s="3" t="s">
        <v>645</v>
      </c>
      <c r="G18" s="10"/>
    </row>
    <row r="19" customHeight="1" spans="1:7">
      <c r="A19" s="3"/>
      <c r="B19" s="3"/>
      <c r="C19" s="3" t="s">
        <v>646</v>
      </c>
      <c r="D19" s="3"/>
      <c r="E19" s="17">
        <f>(D16/G16)*100</f>
        <v>76.1363636363636</v>
      </c>
      <c r="F19" s="3" t="s">
        <v>645</v>
      </c>
      <c r="G19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Cover</vt:lpstr>
      <vt:lpstr>AUTH</vt:lpstr>
      <vt:lpstr>USER</vt:lpstr>
      <vt:lpstr>ORD</vt:lpstr>
      <vt:lpstr>PRO</vt:lpstr>
      <vt:lpstr>STAT</vt:lpstr>
      <vt:lpstr>HOME</vt:lpstr>
      <vt:lpstr>API_PRO</vt:lpstr>
      <vt:lpstr>API_ORD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2026-05-14T04:19:40Z</dcterms:created>
  <dcterms:modified xsi:type="dcterms:W3CDTF">2026-05-14T04:20:10Z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CFFAE8D34DBA40B5B115854C97946D40_12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