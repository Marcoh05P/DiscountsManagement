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AUTH" sheetId="2" r:id="rId6"/>
    <sheet state="visible" name="USER" sheetId="3" r:id="rId7"/>
    <sheet state="visible" name="ORD" sheetId="4" r:id="rId8"/>
    <sheet state="visible" name="PRO" sheetId="5" r:id="rId9"/>
    <sheet state="visible" name="STAT" sheetId="6" r:id="rId10"/>
    <sheet state="visible" name="HOME" sheetId="7" r:id="rId11"/>
    <sheet state="visible" name="API_PRO" sheetId="8" r:id="rId12"/>
    <sheet state="visible" name="API_ORD" sheetId="9" r:id="rId13"/>
    <sheet state="visible" name="TEST REPORT" sheetId="10" r:id="rId14"/>
  </sheets>
  <definedNames/>
  <calcPr/>
</workbook>
</file>

<file path=xl/sharedStrings.xml><?xml version="1.0" encoding="utf-8"?>
<sst xmlns="http://schemas.openxmlformats.org/spreadsheetml/2006/main" count="946" uniqueCount="665">
  <si>
    <t>TEST CASE</t>
  </si>
  <si>
    <t>Version:</t>
  </si>
  <si>
    <t>Issue date:</t>
  </si>
  <si>
    <t>Project Name:</t>
  </si>
  <si>
    <t>DiscountsManagement</t>
  </si>
  <si>
    <t>Project Code:</t>
  </si>
  <si>
    <t>DMS-01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</si>
  <si>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</si>
  <si>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</si>
  <si>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</si>
  <si>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</si>
  <si>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</si>
  <si>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</si>
  <si>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</si>
  <si>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</si>
  <si>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1.0</t>
  </si>
  <si>
    <t>AUTH, PRO</t>
  </si>
  <si>
    <t>Tạo test case cho chức năng Authentication và Promotion</t>
  </si>
  <si>
    <t>Dương Lê Kim Phụng</t>
  </si>
  <si>
    <t>Dương Hữu Thành</t>
  </si>
  <si>
    <t>AUTH - Authentication &amp; Registration, PRO - Promotion Create/Edit Validation</t>
  </si>
  <si>
    <t>1.1</t>
  </si>
  <si>
    <t>ORD, STA</t>
  </si>
  <si>
    <t>Bổ sung test case cho Order và Status Order</t>
  </si>
  <si>
    <t>ORD - Order Creation &amp; Discount Usage, STAT - Order Status, History &amp; Cancellation</t>
  </si>
  <si>
    <t>1.2</t>
  </si>
  <si>
    <t>HOME</t>
  </si>
  <si>
    <t>Cập nhật test case trang Home</t>
  </si>
  <si>
    <t>HOME - Home / Promotion List</t>
  </si>
  <si>
    <t>1.3</t>
  </si>
  <si>
    <t>API GET PRO</t>
  </si>
  <si>
    <t>Thêm test case API GET Promotion</t>
  </si>
  <si>
    <t xml:space="preserve">API PROMOTION - Promotion List / API </t>
  </si>
  <si>
    <t>1.4</t>
  </si>
  <si>
    <t>STATUS</t>
  </si>
  <si>
    <t>Cập nhật test case Status sau khi thêm chức năng khách hàng hủy đơn</t>
  </si>
  <si>
    <t>STAT - Order Status, History &amp; Cancellation</t>
  </si>
  <si>
    <t>1.5</t>
  </si>
  <si>
    <t>API POST PRO</t>
  </si>
  <si>
    <t>Thêm test case API POST Promotion</t>
  </si>
  <si>
    <t>API ORD</t>
  </si>
  <si>
    <t>Retest và bổ sung test case API Order sau khi fix lỗi chức năng tạo order</t>
  </si>
  <si>
    <t xml:space="preserve">API ORDER - Order List / API / </t>
  </si>
  <si>
    <t>https://docs.google.com/spreadsheets/d/1H0kBUBCjG8Yo2cHSmgkZvUed522hQ2V4T5Hsqj3oYzI/edit?gid=0#gid=0</t>
  </si>
  <si>
    <t>Module Code：</t>
  </si>
  <si>
    <t>AUTH - Authentication &amp; Registration</t>
  </si>
  <si>
    <t>Test requirement:</t>
  </si>
  <si>
    <t>Đăng ký/đăng nhập, validation số điện thoại, mật khẩu và xử lý phiên đăng nhập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</si>
  <si>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</si>
  <si>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</si>
  <si>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</si>
  <si>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</si>
  <si>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</si>
  <si>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</si>
  <si>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</si>
  <si>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</si>
  <si>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</si>
  <si>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</si>
  <si>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</si>
  <si>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</si>
  <si>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Retest Status</t>
  </si>
  <si>
    <t>Retest Evidence</t>
  </si>
  <si>
    <t>1. Kiểm tra đăng ký tài khoản hợp lệ</t>
  </si>
  <si>
    <t>TC-AUTH-001</t>
  </si>
  <si>
    <t>Đăng ký với dữ liệu hợp lệ</t>
  </si>
  <si>
    <t>Mở /register; nhập phone 10 số chưa tồn tại, full name hợp lệ, password đủ mạnh, confirm đúng; nhấn Đăng ký</t>
  </si>
  <si>
    <t>Tạo tài khoản thành công và có thể đăng nhập</t>
  </si>
  <si>
    <t>TCAuth1.png</t>
  </si>
  <si>
    <t>Đăng ký thành công</t>
  </si>
  <si>
    <t>2. Kiểm tra validation mật khẩu</t>
  </si>
  <si>
    <t>TC-AUTH-002</t>
  </si>
  <si>
    <t>Biên dưới mật khẩu 7 ký tự</t>
  </si>
  <si>
    <t>Mở /register; nhập mật khẩu 7 ký tự; nhấn Đăng ký</t>
  </si>
  <si>
    <t>Hệ thống phải từ chối vì mật khẩu &lt; 8 ký tự</t>
  </si>
  <si>
    <t>TCAuth2-1.png, TCAuth2-2.png</t>
  </si>
  <si>
    <t>Mật khẩu ngắn vẫn được chấp nhận (Issue #7)</t>
  </si>
  <si>
    <t>TCAuthSauRetest.png</t>
  </si>
  <si>
    <t>TC-AUTH-003</t>
  </si>
  <si>
    <t>Biên đúng mật khẩu 8 ký tự</t>
  </si>
  <si>
    <t>Nhập mật khẩu đúng 8 ký tự gồm hoa, thường, số, ký tự đặc biệt</t>
  </si>
  <si>
    <t>Chấp nhận đăng ký</t>
  </si>
  <si>
    <t>TCAuth3.png</t>
  </si>
  <si>
    <t>Chấp nhận đúng độ dài tối thiểu</t>
  </si>
  <si>
    <t>TC-AUTH-004</t>
  </si>
  <si>
    <t>Mật khẩu chỉ gồm số</t>
  </si>
  <si>
    <t>Nhập mật khẩu 12345678 cho đăng ký</t>
  </si>
  <si>
    <t>Từ chối vì không đủ độ mạnh</t>
  </si>
  <si>
    <t>TCAuth4-1.png, TCAuth4-2.png</t>
  </si>
  <si>
    <t>Hệ thống chưa kiểm tra độ mạnh mật khẩu (Issue #7)</t>
  </si>
  <si>
    <t>TC-AUTH-005</t>
  </si>
  <si>
    <t>Mật khẩu thiếu ký tự đặc biệt</t>
  </si>
  <si>
    <t>Nhập mật khẩu 123Abcde cho đăng ký</t>
  </si>
  <si>
    <t>Từ chối vì thiếu ký tự đặc biệt</t>
  </si>
  <si>
    <t>TCAuth5-1.png, TCAuth5-2.png</t>
  </si>
  <si>
    <t>Chưa kiểm tra đủ ký tự đặc biệt trong mật khẩu (Issue #7)</t>
  </si>
  <si>
    <t>TC-AUTH-006</t>
  </si>
  <si>
    <t>Xác nhận mật khẩu không khớp</t>
  </si>
  <si>
    <t>Nhập password và confirm khác nhau</t>
  </si>
  <si>
    <t>Từ chối đăng ký và hiển thị thông báo</t>
  </si>
  <si>
    <t>TCAuth6.png</t>
  </si>
  <si>
    <t>Mật khẩu xác nhận không khớp</t>
  </si>
  <si>
    <t>3. Kiểm tra validation số điện thoại</t>
  </si>
  <si>
    <t>TC-AUTH-007</t>
  </si>
  <si>
    <t>Số điện thoại 9 số</t>
  </si>
  <si>
    <t>Nhập phone 9 số và các trường còn lại hợp lệ</t>
  </si>
  <si>
    <t>Từ chối vì sai độ dài số điện thoại</t>
  </si>
  <si>
    <t>TCAuth7.png</t>
  </si>
  <si>
    <t>Số điện thoại không hợp lệ</t>
  </si>
  <si>
    <t>TC-AUTH-008</t>
  </si>
  <si>
    <t>Số điện thoại 11 số</t>
  </si>
  <si>
    <t>Mở /register; nhập phone 00123456789, các trường còn lại hợp lệ; nhấn Đăng ký</t>
  </si>
  <si>
    <t>Hệ thống từ chối đăng ký và hiển thị thông báo số điện thoại không hợp lệ</t>
  </si>
  <si>
    <t>TCAuth8-1.png, TCAuth8-2.png</t>
  </si>
  <si>
    <t>Định dạng số điện thoại không hợp lệ</t>
  </si>
  <si>
    <t>TC-AUTH-009</t>
  </si>
  <si>
    <t>Số điện thoại chứa chữ</t>
  </si>
  <si>
    <t>Nhập 09abc12345</t>
  </si>
  <si>
    <t>Từ chối vì không đúng định dạng</t>
  </si>
  <si>
    <t>TCAuth9.png</t>
  </si>
  <si>
    <t>Kiểm tra định dạng số điện thoại</t>
  </si>
  <si>
    <t>TC-AUTH-010</t>
  </si>
  <si>
    <t>Đăng ký với số điện thoại đã tồn tại</t>
  </si>
  <si>
    <t>Mở /register; nhập số điện thoại đã có tài khoản, nhập full name, password và confirm hợp lệ; nhấn Đăng ký</t>
  </si>
  <si>
    <t>Hệ thống từ chối đăng ký và hiển thị thông báo số điện thoại đã tồn tại</t>
  </si>
  <si>
    <t>TCAuth10.png</t>
  </si>
  <si>
    <t>Kiểm tra số điện thoại trùng</t>
  </si>
  <si>
    <t>4. Kiểm tra chức năng đăng nhập</t>
  </si>
  <si>
    <t>TC-AUTH-011</t>
  </si>
  <si>
    <t>Đăng nhập sai mật khẩu</t>
  </si>
  <si>
    <t>Mở /login; nhập account hợp lệ nhưng sai password</t>
  </si>
  <si>
    <t>Không đăng nhập, thông báo lỗi</t>
  </si>
  <si>
    <t>TCAuth11.png</t>
  </si>
  <si>
    <t>Sai tài khoản hoặc mật khẩu</t>
  </si>
  <si>
    <t>System Name：</t>
  </si>
  <si>
    <t>USER - User Management &amp; Authorization</t>
  </si>
  <si>
    <t>Quản lý người dùng màn Admin/User và phân quyền guest-customer-admin</t>
  </si>
  <si>
    <t>1. Kiểm tra quản lý user</t>
  </si>
  <si>
    <t>TC-USER-001</t>
  </si>
  <si>
    <t>Đổi quyền ADMIN xuống CUSTOMER không xác nhận</t>
  </si>
  <si>
    <t>Admin sửa user role từ ADMIN thành CUSTOMER; nhấn Save</t>
  </si>
  <si>
    <t>Hệ thống nên hiển thị cảnh báo hoặc yêu cầu xác nhận khi thay đổi role ADMIN (Issue #10)</t>
  </si>
  <si>
    <t xml:space="preserve">TCUser1-1.png,TCUser1-2.png </t>
  </si>
  <si>
    <t>Không có xác nhận và được cho phép</t>
  </si>
  <si>
    <t>TCUser1SauRestest.png</t>
  </si>
  <si>
    <t>TC-USER-002</t>
  </si>
  <si>
    <t>Tạo user hợp lệ</t>
  </si>
  <si>
    <t>Admin &gt; User &gt; Create; nhập dữ liệu hợp lệ; lưu</t>
  </si>
  <si>
    <t>Tạo user thành công</t>
  </si>
  <si>
    <t>TCUser2.png</t>
  </si>
  <si>
    <t>TC-USER-003</t>
  </si>
  <si>
    <t>Admin xem danh sách user</t>
  </si>
  <si>
    <t>Đăng nhập admin; mở Admin &gt; User &gt; List</t>
  </si>
  <si>
    <t>Danh sách user hiển thị đầy đủ</t>
  </si>
  <si>
    <t>TCUser3.png</t>
  </si>
  <si>
    <t>Hiển thị danh sách user</t>
  </si>
  <si>
    <t>TC-USER-004</t>
  </si>
  <si>
    <t>Sửa user với phone trùng</t>
  </si>
  <si>
    <t>Admin sửa user A sang số điện thoại đã tồn tại ở user B</t>
  </si>
  <si>
    <t>Từ chối lưu do phone trùng</t>
  </si>
  <si>
    <t>TCUser4.png</t>
  </si>
  <si>
    <t>Kiểm tra trùng số điện thoại</t>
  </si>
  <si>
    <t>TC-USER-005</t>
  </si>
  <si>
    <t>Bỏ trống full name khi tạo user</t>
  </si>
  <si>
    <t>Admin tạo user nhưng để trống họ tên</t>
  </si>
  <si>
    <t>Từ chối lưu và báo lỗi bắt buộc</t>
  </si>
  <si>
    <t>TCUser5.png</t>
  </si>
  <si>
    <t>Báo lỗi khi thiếu họ tên</t>
  </si>
  <si>
    <t>TC-USER-006</t>
  </si>
  <si>
    <t>Bật/tắt active user</t>
  </si>
  <si>
    <t>Sửa trạng thái active của một user</t>
  </si>
  <si>
    <t>Trạng thái được lưu đúng</t>
  </si>
  <si>
    <t>TCUser6.png</t>
  </si>
  <si>
    <t>Cập nhật trạng thái thành công</t>
  </si>
  <si>
    <t>TC-USER-007</t>
  </si>
  <si>
    <t>Tìm kiếm user theo tên hoặc số điện thoại</t>
  </si>
  <si>
    <t>Đăng nhập admin; mở trang quản lý user; nhập tên hoặc số điện thoại vào ô tìm kiếm; nhấn tìm kiếm</t>
  </si>
  <si>
    <t>Hiển thị đúng user khớp với từ khóa tìm kiếm</t>
  </si>
  <si>
    <t>TCUser7.png</t>
  </si>
  <si>
    <t>Hiển thị đúng user theo từ khóa</t>
  </si>
  <si>
    <t>2. Kiểm tra phân quyền truy cập</t>
  </si>
  <si>
    <t>TC-USER-008</t>
  </si>
  <si>
    <t>Customer truy cập trực tiếp URL quản lý user</t>
  </si>
  <si>
    <t>Đăng nhập customer; mở trực tiếp /admin/user</t>
  </si>
  <si>
    <t>Không thể truy cập</t>
  </si>
  <si>
    <t>TCUser8.png</t>
  </si>
  <si>
    <t>Không có quyền truy cập</t>
  </si>
  <si>
    <t>TC-USER-009</t>
  </si>
  <si>
    <t>Guest truy cập trực tiếp URL quản lý user</t>
  </si>
  <si>
    <t>Không đăng nhập; mở /admin/user</t>
  </si>
  <si>
    <t>Không thể mở</t>
  </si>
  <si>
    <t>TCUser9.png</t>
  </si>
  <si>
    <t>Chặn truy cập khi chưa đăng nhập</t>
  </si>
  <si>
    <t>ORD - Order Creation &amp; Discount Usage</t>
  </si>
  <si>
    <t>Tạo đơn hàng, áp dụng mã giảm giá và cập nhật số lượt sử dụng</t>
  </si>
  <si>
    <t>1. Kiểm tra tạo order hợp lệ</t>
  </si>
  <si>
    <t>TC-ORD-001</t>
  </si>
  <si>
    <t>Tạo đơn không dùng mã</t>
  </si>
  <si>
    <t>Đăng nhập customer; mở /order/create; nhập amount hợp lệ; tạo đơn</t>
  </si>
  <si>
    <t>Tạo đơn thành công, tổng tiền giữ nguyên</t>
  </si>
  <si>
    <t>TCOrd1.png</t>
  </si>
  <si>
    <t>Order được tạo thành công, trạng thái mặc định là "Chờ xử lý".</t>
  </si>
  <si>
    <t>TC-ORD-002</t>
  </si>
  <si>
    <t>Áp dụng COUPON hợp lệ</t>
  </si>
  <si>
    <t>Đăng nhập customer; tạo order đủ min_order; nhập mã COUPON hợp lệ; tạo đơn</t>
  </si>
  <si>
    <t>Tính discount đúng theo value nhưng không vượt max_discount</t>
  </si>
  <si>
    <t>TCOrd2.png</t>
  </si>
  <si>
    <t>Coupon được áp dụng đúng, tổng tiền giảm theo giá trị coupon.</t>
  </si>
  <si>
    <t>TC-ORD-003</t>
  </si>
  <si>
    <t>Áp dụng VOUCHER hợp lệ</t>
  </si>
  <si>
    <t>Đăng nhập customer; tạo order đủ min_order; nhập mã VOUCHER hợp lệ; tạo đơn</t>
  </si>
  <si>
    <t>Giảm đúng số tiền voucher</t>
  </si>
  <si>
    <t>TCOrd3.png</t>
  </si>
  <si>
    <t>Voucher hoạt động đúng với điều kiện tối thiểu đơn hàng.</t>
  </si>
  <si>
    <t>2. Kiểm tra boundary và business rule của promotion</t>
  </si>
  <si>
    <t>TC-ORD-004</t>
  </si>
  <si>
    <t>Amount đúng bằng min_order</t>
  </si>
  <si>
    <t>Nhập amount=min_order</t>
  </si>
  <si>
    <t>Mã được áp dụng</t>
  </si>
  <si>
    <t>TCOrd4-1.png, TCOrd4-2.png</t>
  </si>
  <si>
    <t>Hệ thống hiển thị đúng mã giảm giá theo từ khóa tìm kiếm.</t>
  </si>
  <si>
    <t>TC-ORD-005</t>
  </si>
  <si>
    <t>Một đơn thành công chỉ trừ 1 lượt</t>
  </si>
  <si>
    <t>Tạo đơn với mã SUPER40 còn 8 lượt; tạo đơn thành công; kiểm tra availability</t>
  </si>
  <si>
    <t>Chỉ giảm đúng 1 lượt</t>
  </si>
  <si>
    <t>TCOrd5-1.png, TCOrd5-2.png</t>
  </si>
  <si>
    <t>Availability của mã giảm giá giảm sai sau khi tạo đơn hàng (Issue #16)</t>
  </si>
  <si>
    <t>TCOrd5-1SauRetest.png TCOrd5-2SauRetest.png</t>
  </si>
  <si>
    <t>TC-ORD-006</t>
  </si>
  <si>
    <t>Dùng mã hết lượt</t>
  </si>
  <si>
    <t>Chọn promotion có availability=0</t>
  </si>
  <si>
    <t>Không cho áp dụng/tạo đơn với mã này hoặc không hiện mã hết hạn trong khung lựa chọn</t>
  </si>
  <si>
    <t>TCOrd6.png</t>
  </si>
  <si>
    <t>Hệ thống không hiện promotion đã hết lượt sử dụng.</t>
  </si>
  <si>
    <t>PRO - Promotion Create/Edit Validation</t>
  </si>
  <si>
    <t>Tạo/sửa promotion coupon-voucher, kiểm tra biên và ràng buộc nghiệp vụ</t>
  </si>
  <si>
    <t>1. Kiểm tra tạo promotion hợp lệ</t>
  </si>
  <si>
    <t>TC-PRO-001</t>
  </si>
  <si>
    <t>Tạo COUPON hợp lệ</t>
  </si>
  <si>
    <t>Tạo COUPON với value=0.2, max_discount=20000, min_order=50000, availability=5, start&lt;expire</t>
  </si>
  <si>
    <t>Tạo promotion thành công</t>
  </si>
  <si>
    <t>TCPro1.png</t>
  </si>
  <si>
    <t>TC-PRO-002</t>
  </si>
  <si>
    <t>Tạo VOUCHER hợp lệ</t>
  </si>
  <si>
    <t>Tạo VOUCHER với value=10000, max_discount=0, min_order=50000, availability=10</t>
  </si>
  <si>
    <t>Tạo promotion thành công, max_discount được lưu là 0</t>
  </si>
  <si>
    <t>TCPro2.png</t>
  </si>
  <si>
    <t>Lưu promotion hợp lệ</t>
  </si>
  <si>
    <t>2. Kiểm tra boundary value của COUPON</t>
  </si>
  <si>
    <t>TC-PRO-003</t>
  </si>
  <si>
    <t>Biên COUPON value = 0</t>
  </si>
  <si>
    <t>Tạo COUPON với value=0</t>
  </si>
  <si>
    <t>Hệ thống hiển thị lỗi và không cho lưu coupon với value &lt;= 0</t>
  </si>
  <si>
    <t>TCPro3.png</t>
  </si>
  <si>
    <t>Hệ thống vẫn cho tạo coupon với value = 0. (Issue #6)</t>
  </si>
  <si>
    <t>TCPro3SauRetest.png</t>
  </si>
  <si>
    <t>TC-PRO-004</t>
  </si>
  <si>
    <t>Biên COUPON value = 0.5</t>
  </si>
  <si>
    <t>Tạo COUPON với value=0.5</t>
  </si>
  <si>
    <t>Được chấp nhận nếu các trường khác hợp lệ</t>
  </si>
  <si>
    <t>TCPro4.png</t>
  </si>
  <si>
    <t>Chấp nhận dữ liệu hợp lệ</t>
  </si>
  <si>
    <t>TC-PRO-005</t>
  </si>
  <si>
    <t>Biên COUPON value = 0.6</t>
  </si>
  <si>
    <t>Tạo COUPON với value=0.6</t>
  </si>
  <si>
    <t>Hệ thống không cho tạo coupon có value lớn hơn 50%</t>
  </si>
  <si>
    <t>TCPro5.png</t>
  </si>
  <si>
    <t>Coupon vượt quá mức giảm 50% nhưng vẫn được lưu. (Issue #6)</t>
  </si>
  <si>
    <t>TCPro5SauRetest.png</t>
  </si>
  <si>
    <t>3. Kiểm tra validation dữ liệu promotion</t>
  </si>
  <si>
    <t>TC-PRO-006</t>
  </si>
  <si>
    <t>Tạo VOUCHER với value không hợp lệ</t>
  </si>
  <si>
    <t>Tạo VOUCHER với value=0.6</t>
  </si>
  <si>
    <t>Từ chối vì voucher cần số tiền cố định hợp lệ</t>
  </si>
  <si>
    <t>TCPro6.png</t>
  </si>
  <si>
    <t>Voucher nhập sai kiểu giá trị nhưng hệ thống chưa validate. (Issue #13)</t>
  </si>
  <si>
    <t>TCPro6SauRetest.png</t>
  </si>
  <si>
    <t>TC-PRO-007</t>
  </si>
  <si>
    <t>Kiểm tra tính nhất quán giữa discount value và max discount của COUPON</t>
  </si>
  <si>
    <t>Tạo COUPON, value=0.5, max_discount=0.2, min_order=1000000</t>
  </si>
  <si>
    <t>Từ chối lưu vì value và max_discount không hợp lệ với COUPON</t>
  </si>
  <si>
    <t>TCPro7.png</t>
  </si>
  <si>
    <t>Hệ thống chưa kiểm tra tính hợp lệ giữa value và max discount. (Issue #14)</t>
  </si>
  <si>
    <t>TCPro7SauRetest.png</t>
  </si>
  <si>
    <t>TC-PRO-008</t>
  </si>
  <si>
    <t>Ngày hết hạn nhỏ hơn ngày bắt đầu</t>
  </si>
  <si>
    <t>start_date &gt; expire_date</t>
  </si>
  <si>
    <t>Hệ thống hiển thị lỗi khi ngày hết hạn nhỏ hơn ngày bắt đầu.</t>
  </si>
  <si>
    <t>TCPro8.png</t>
  </si>
  <si>
    <t>Ngày hết hạn nhỏ hơn ngày bắt đầu nhưng hệ thống vẫn cho tạo promotion. (Issue #6)</t>
  </si>
  <si>
    <t>TCPro8-1SauRetest.png TCPro8-2SauRetest.png</t>
  </si>
  <si>
    <t>TC-PRO-009</t>
  </si>
  <si>
    <t>Availability âm</t>
  </si>
  <si>
    <t>availability=-10</t>
  </si>
  <si>
    <t>Hệ thống không cho nhập availability nhỏ hơn 0.</t>
  </si>
  <si>
    <t>TCPro9.png</t>
  </si>
  <si>
    <t>Availability âm nhưng vẫn được chấp nhận. (Issue #6)</t>
  </si>
  <si>
    <t>TCPro9-1SauRetest.png TCPro9-2SauRetest.png</t>
  </si>
  <si>
    <t>TC-PRO-010</t>
  </si>
  <si>
    <t>Min order âm</t>
  </si>
  <si>
    <t>min_order=-10000</t>
  </si>
  <si>
    <t>Hệ thống hiển thị lỗi khi min order nhỏ hơn 0.</t>
  </si>
  <si>
    <t>TCPro10.png</t>
  </si>
  <si>
    <t>Min order âm nhưng hệ thống chưa chặn dữ liệu. (Issue #6)</t>
  </si>
  <si>
    <t>TCPro10-1SauRetest.png TCPro10-2SauRetest.png</t>
  </si>
  <si>
    <t>TC-PRO-011</t>
  </si>
  <si>
    <t>Biên availability = 0</t>
  </si>
  <si>
    <t>Tạo promotion với availability=0</t>
  </si>
  <si>
    <t>Hệ thống từ chối tạo promotion với availability = 0 và hiển thị lỗi hợp lệ.</t>
  </si>
  <si>
    <t>TCPro11.png</t>
  </si>
  <si>
    <t>Hệ thống xử lý không ổn khi availability = 0 (Issue #6)</t>
  </si>
  <si>
    <t>TCPro11-1SauRetest.png TCPro11-2SauRetest.png</t>
  </si>
  <si>
    <t>TC-PRO-012</t>
  </si>
  <si>
    <t>Tạo promotion có mã trùng</t>
  </si>
  <si>
    <t>Tạo promotion với code đã tồn tại</t>
  </si>
  <si>
    <t>Từ chối do code trùng</t>
  </si>
  <si>
    <t>TCPro12.png</t>
  </si>
  <si>
    <t>Hệ thống đã chặn đúng trường hợp mã promotion bị trùng</t>
  </si>
  <si>
    <t>TC-PRO-013</t>
  </si>
  <si>
    <t>Xóa promotion đã có order sử dụng</t>
  </si>
  <si>
    <t>Admin vào Promotion, chọn mã promotion đã có order sử dụng, bấm Delete</t>
  </si>
  <si>
    <t>Từ chối xóa và hiển thị lỗi promotion đã có order sử dụng</t>
  </si>
  <si>
    <t>TCPro13.png</t>
  </si>
  <si>
    <t>Không cho xóa promotion đang được order sử dụng</t>
  </si>
  <si>
    <t>Lịch sử đơn hàng, cập nhật trạng thái và hoàn lượt sử dụng promotion</t>
  </si>
  <si>
    <t>1. Kiểm tra lịch sử đơn hàng</t>
  </si>
  <si>
    <t>TC-STAT-001</t>
  </si>
  <si>
    <t>Customer xem lịch sử đơn của chính mình</t>
  </si>
  <si>
    <t>Đăng nhập customer; mở /orders/history</t>
  </si>
  <si>
    <t>Chỉ hiển thị đơn của user hiện tại</t>
  </si>
  <si>
    <t>TCStat1.png</t>
  </si>
  <si>
    <t>Kiểm tra phân quyền lịch sử đơn hàng theo customer</t>
  </si>
  <si>
    <t>TC-STAT-002</t>
  </si>
  <si>
    <t>Lịch sử sắp xếp mới nhất</t>
  </si>
  <si>
    <t>Đăng nhập customer; truy cập /orders_history; chọn sắp xếp Mới nhất</t>
  </si>
  <si>
    <t>Danh sách hiển thị đơn mới nhất lên đầu</t>
  </si>
  <si>
    <t>TCStat2.png</t>
  </si>
  <si>
    <t>Danh sách lịch sử hiển thị đúng thứ tự mới nhất</t>
  </si>
  <si>
    <t>2. Kiểm tra hủy đơn và hoàn lượt promotion</t>
  </si>
  <si>
    <t>TC-STAT-003</t>
  </si>
  <si>
    <t>Customer hủy đơn ở trạng thái PENDING</t>
  </si>
  <si>
    <t>Đăng nhập customer; vào /orders_history; chọn đơn trạng thái PENDING; nhấn Hủy</t>
  </si>
  <si>
    <t>Nếu có chức năng hủy, chỉ cho phép với đơn PENDING và của chính khách hàng</t>
  </si>
  <si>
    <t>TCStat3.png</t>
  </si>
  <si>
    <t>Issue #15 là đề xuất cải tiến, Customer chỉ được hủy đơn của chính mình ở trạng thái PENDING</t>
  </si>
  <si>
    <t>TC-STAT-004</t>
  </si>
  <si>
    <t>Hủy đơn phải hoàn lại lượt sử dụng mã</t>
  </si>
  <si>
    <t>Đăng nhập customer; tạo đơn có áp dụng promotion tại /; vào /orders_history; hủy đơn vừa tạo</t>
  </si>
  <si>
    <t>Hệ thống hoàn lại đúng 1 lượt sử dụng promotion sau khi hủy đơn</t>
  </si>
  <si>
    <t>TCStat4-1.png, TCStat4-2.png, TCStat4-3.png</t>
  </si>
  <si>
    <t>Số lượt được hoàn lại sau khi hủy đơn</t>
  </si>
  <si>
    <t>3. Kiểm tra cập nhật trạng thái order</t>
  </si>
  <si>
    <t>TC-STAT-005</t>
  </si>
  <si>
    <t>Cập nhật đơn PENDING sang COMPLETED không làm thay đổi lượt mã</t>
  </si>
  <si>
    <t>Đăng nhập admin; truy cập /admin/order/; cập nhật đơn từ PENDING sang trạng thái COMPLETED</t>
  </si>
  <si>
    <t>Hệ thống cập nhật trạng thái thành COMPLETED và không hoàn lại lượt sử dụng promotion.</t>
  </si>
  <si>
    <t>TCStat5-1.png, TCStat5-2.png, TCStat5-3.png</t>
  </si>
  <si>
    <t>Không hoàn lượt promotion sau khi đơn được hoàn thành.</t>
  </si>
  <si>
    <t>TC-STAT-006</t>
  </si>
  <si>
    <t>Không cho cập nhật trạng thái COMPLETED về PENDING</t>
  </si>
  <si>
    <t>Đăng nhập admin; truy cập /admin/order/; chọn đơn COMPLETED; thử cập nhật về PENDING</t>
  </si>
  <si>
    <t>Hệ thống từ chối cập nhật vì đơn đã hoàn tất không được quay lại PENDING</t>
  </si>
  <si>
    <t>TCStat6.png</t>
  </si>
  <si>
    <t>Hệ thống chặn cập nhật từ COMPLETED về PENDING</t>
  </si>
  <si>
    <t>4. Kiểm tra phân quyền truy cập</t>
  </si>
  <si>
    <t>TC-STAT-007</t>
  </si>
  <si>
    <t>Đăng nhập customer; nhập trực tiếp URL /admin/order/ trên thanh địa chỉ</t>
  </si>
  <si>
    <t>Đăng nhập customer; truy cập trực tiếp /admin/order/</t>
  </si>
  <si>
    <t>Hệ thống redirect về trang đăng nhập hoặc từ chối truy cập admin route</t>
  </si>
  <si>
    <t>TCStat7.png</t>
  </si>
  <si>
    <t>Customer bị từ chối khi truy cập admin route</t>
  </si>
  <si>
    <t>Hiển thị danh sách promotion, tìm kiếm, sắp xếp và điều hướng tạo đơn hàng</t>
  </si>
  <si>
    <t>1. Kiểm tra hiển thị promotion</t>
  </si>
  <si>
    <t>TC-HOME-001</t>
  </si>
  <si>
    <t>Hiển thị danh sách promotion</t>
  </si>
  <si>
    <t>Đăng nhập customer; mở trang chủ /</t>
  </si>
  <si>
    <t>Hiển thị danh sách promotion còn hiệu lực</t>
  </si>
  <si>
    <t>TCHome1.png</t>
  </si>
  <si>
    <t>TC-HOME-002</t>
  </si>
  <si>
    <t>Hiển thị thông tin promotion</t>
  </si>
  <si>
    <t>Quan sát từng promotion</t>
  </si>
  <si>
    <t>Hiển thị code, loại mã, số lượng còn lại, HSD, đơn tối thiểu, giảm tối đa</t>
  </si>
  <si>
    <t>TCHome2.png</t>
  </si>
  <si>
    <t>Kiểm tra thông tin promotion</t>
  </si>
  <si>
    <t>2. Kiểm tra tìm kiếm và sắp xếp</t>
  </si>
  <si>
    <t>TC-HOME-003</t>
  </si>
  <si>
    <t>Tìm kiếm promotion theo code hợp lệ</t>
  </si>
  <si>
    <t>Nhập SUPER40; nhấn Tìm kiếm</t>
  </si>
  <si>
    <t>Chỉ hiển thị promotion có code SUPER40</t>
  </si>
  <si>
    <t>TCHome3.png</t>
  </si>
  <si>
    <t>Tìm kiếm theo mã promotion</t>
  </si>
  <si>
    <t>TC-HOME-004</t>
  </si>
  <si>
    <t>Tìm kiếm promotion không tồn tại</t>
  </si>
  <si>
    <t>Nhập mã không tồn tại như ABCXYZ; nhấn Tìm kiếm</t>
  </si>
  <si>
    <t>Không hiển thị promotion không khớp</t>
  </si>
  <si>
    <t>Kiểm tra mã không tồn tại</t>
  </si>
  <si>
    <t>TC-HOME-005</t>
  </si>
  <si>
    <t>Tìm kiếm với ô trống</t>
  </si>
  <si>
    <t>Để trống ô tìm kiếm; nhấn Tìm kiếm</t>
  </si>
  <si>
    <t>Hiển thị lại danh sách promotion mặc định</t>
  </si>
  <si>
    <t>TCHome5.png</t>
  </si>
  <si>
    <t>Tìm kiếm rỗng</t>
  </si>
  <si>
    <t>TC-HOME-006</t>
  </si>
  <si>
    <t>Sắp xếp theo mới nhất</t>
  </si>
  <si>
    <t>Chọn mã “Mới nhất”</t>
  </si>
  <si>
    <t>Danh sách được sắp xếp theo promotion mới nhất</t>
  </si>
  <si>
    <t>TCHome6.png</t>
  </si>
  <si>
    <t>Sắp xếp mới nhất</t>
  </si>
  <si>
    <t>TC-HOME-007</t>
  </si>
  <si>
    <t>Sắp xếp theo sắp hết hạn</t>
  </si>
  <si>
    <t>Chọn mã “Sắp hết hạn”</t>
  </si>
  <si>
    <t>Promotion gần hết hạn được ưu tiên hiển thị trước</t>
  </si>
  <si>
    <t>TCHome7.png</t>
  </si>
  <si>
    <t>Sắp xếp theo hạn sử dụng</t>
  </si>
  <si>
    <t>3. Kiểm tra điều hướng</t>
  </si>
  <si>
    <t>TC-HOME-008</t>
  </si>
  <si>
    <t>Điều hướng sang tạo đơn hàng</t>
  </si>
  <si>
    <t>Nhấn menu “Tạo đơn hàng”</t>
  </si>
  <si>
    <t>Chuyển sang trang tạo đơn hàng</t>
  </si>
  <si>
    <t>TCHome8.png</t>
  </si>
  <si>
    <t>Điều hướng tạo đơn</t>
  </si>
  <si>
    <t>TC-HOME-009</t>
  </si>
  <si>
    <t>Đăng xuất từ trang chủ</t>
  </si>
  <si>
    <t>Nhấn “Đăng xuất”</t>
  </si>
  <si>
    <t>Đăng xuất thành công và quay về trang đăng nhập/trang public</t>
  </si>
  <si>
    <t>TCHome9.png</t>
  </si>
  <si>
    <t>Kiểm tra đăng xuất</t>
  </si>
  <si>
    <t>Danh sách promotion, filter, phân trang và endpoint GET và POST /api/promotions</t>
  </si>
  <si>
    <t>1. Kiểm tra GET danh sách promotion</t>
  </si>
  <si>
    <t>TC-API-PRO-001</t>
  </si>
  <si>
    <t>GET danh sách promotion mặc định</t>
  </si>
  <si>
    <t>GET /api/promotions</t>
  </si>
  <si>
    <t>Trả về danh sách mặc định, status 200</t>
  </si>
  <si>
    <t>TCAPIPro1.png</t>
  </si>
  <si>
    <t>GET promotion list thành công</t>
  </si>
  <si>
    <t>TC-API-PRO-002</t>
  </si>
  <si>
    <t>GET promotion theo code</t>
  </si>
  <si>
    <t>GET /api/promotions?code=55</t>
  </si>
  <si>
    <t>Chỉ trả về promotion có code 55</t>
  </si>
  <si>
    <t>TCAPIPro2.png</t>
  </si>
  <si>
    <t>GET promotion theo code thành công</t>
  </si>
  <si>
    <t>TC-API-PRO-003</t>
  </si>
  <si>
    <t>GET promotion với amount hợp lệ</t>
  </si>
  <si>
    <t>GET /api/promotions?amount=50000</t>
  </si>
  <si>
    <t>Chỉ trả về các promotion thỏa điều kiện amount</t>
  </si>
  <si>
    <t>TCAPIPro3.png</t>
  </si>
  <si>
    <t>GET promotion với amount trả sai dữ liệu(#Issue 28)</t>
  </si>
  <si>
    <t>TCAPIPro3SauRetest.png</t>
  </si>
  <si>
    <t>TC-API-PRO-004</t>
  </si>
  <si>
    <t>GET promotion theo amount âm</t>
  </si>
  <si>
    <t>GET /api/promotions?amount=-1</t>
  </si>
  <si>
    <t>Trả 400 Bad Request với lỗi “Giá trị đơn hàng không hợp lệ!”</t>
  </si>
  <si>
    <t>TCAPIPro4.png</t>
  </si>
  <si>
    <t>GET promotion với amount âm vẫn xử lý(#Issue 28)</t>
  </si>
  <si>
    <t>TCAPIPro4SauRetest.png</t>
  </si>
  <si>
    <t>TC-API-PRO-005</t>
  </si>
  <si>
    <t>GET promotion theo amount không hợp lệ</t>
  </si>
  <si>
    <t>GET /api/promotions?amount=abc</t>
  </si>
  <si>
    <t>TCAPIPro5.png</t>
  </si>
  <si>
    <t>GET promotion với amount không hợp lệ vẫn xử lý (#Issue 28). Có thể kiểm tra thêm các giá trị tương đương: amount=ABC, amount=10abc, amount=@@</t>
  </si>
  <si>
    <t>TCAPIPro5SauRetest.png</t>
  </si>
  <si>
    <t>TC-API-PRO-006</t>
  </si>
  <si>
    <t>GET promotion theo ptype không hợp lệ</t>
  </si>
  <si>
    <t>GET /api/promotions?ptype=ABC</t>
  </si>
  <si>
    <t>Trả về danh sách rỗng khi ptype không hợp lệ</t>
  </si>
  <si>
    <t>TCAPIPro6.png</t>
  </si>
  <si>
    <t>GET promotion với ptype không hợp lệ trả rỗng đúng</t>
  </si>
  <si>
    <t>TC-API-PRO-007</t>
  </si>
  <si>
    <t>GET promotion theo ptype VOUCHER hợp lệ</t>
  </si>
  <si>
    <t>GET /api/promotions?ptype=VOUCHER</t>
  </si>
  <si>
    <t>API chỉ trả về các promotion có promotion_type = VOUCHER</t>
  </si>
  <si>
    <t>TCAPIPro7.png</t>
  </si>
  <si>
    <t>GET promotion theo ptype thành công</t>
  </si>
  <si>
    <t>TC-API-PRO-008</t>
  </si>
  <si>
    <t>GET promotion theo ptype COUPON hợp lệ</t>
  </si>
  <si>
    <t>GET /api/promotions?ptype=COUPON</t>
  </si>
  <si>
    <t>API chỉ trả về các promotion có promotion_type = COUPON</t>
  </si>
  <si>
    <t>TCAPIPro8.png</t>
  </si>
  <si>
    <t>TC-API-PRO-009</t>
  </si>
  <si>
    <t>GET promotion phân trang với page = 0</t>
  </si>
  <si>
    <t>GET /api/promotions?page=0</t>
  </si>
  <si>
    <t>Trả 400 Bad Request với lỗi “Số trang không hợp lệ!”</t>
  </si>
  <si>
    <t>TCAPIPro9.png</t>
  </si>
  <si>
    <t>GET promotion với page = 0 vẫn trả dữ liệu(#Issue 29)</t>
  </si>
  <si>
    <t>TCAPIPro9SauRetest.png</t>
  </si>
  <si>
    <t>TC-API-PRO-010</t>
  </si>
  <si>
    <t>GET promotion phân trang với page âm</t>
  </si>
  <si>
    <t>GET /api/promotions?page=-1</t>
  </si>
  <si>
    <t>TCAPIPro10.png</t>
  </si>
  <si>
    <t>GET promotion với page âm chưa được validate (#Issue 29)</t>
  </si>
  <si>
    <t>TCAPIPro10SauRetest.png</t>
  </si>
  <si>
    <t>TC-API-PRO-011</t>
  </si>
  <si>
    <t>GET promotion phân trang với page không hợp lệ</t>
  </si>
  <si>
    <t>GET /api/promotions?page=abc</t>
  </si>
  <si>
    <t>TCAPIPro11.png</t>
  </si>
  <si>
    <t>GET promotion với page không hợp lệ chưa được validate (#Issue 29). Có thể kiểm tra thêm các giá trị tương đương: page=ABC, page=10abc, page=@@</t>
  </si>
  <si>
    <t>TCAPIPro11SauRetest.png</t>
  </si>
  <si>
    <t>2. Kiểm tra POST tạo promotion</t>
  </si>
  <si>
    <t>TC-API-PRO-012</t>
  </si>
  <si>
    <t>POST tạo VOUCHER hợp lệ</t>
  </si>
  <si>
    <t>Admin gửi POST /api/promotions với dữ liệu voucher hợp lệ bằng Postman</t>
  </si>
  <si>
    <t>Tạo promotion thành công và trả status 201</t>
  </si>
  <si>
    <t>TCAPIPro12.png</t>
  </si>
  <si>
    <t>POST voucher thành công</t>
  </si>
  <si>
    <t>TC-API-PRO-013</t>
  </si>
  <si>
    <t>POST tạo COUPON hợp lệ</t>
  </si>
  <si>
    <t>Admin gửi POST /api/promotions với dữ liệu coupon hợp lệ bằng Postman</t>
  </si>
  <si>
    <t>TCAPIPro13.png</t>
  </si>
  <si>
    <t>POST coupon thành công</t>
  </si>
  <si>
    <t>TC-API-PRO-014</t>
  </si>
  <si>
    <t>POST thiếu mã promotion</t>
  </si>
  <si>
    <t>Admin gửi POST /api/promotions nhưng để trống trường code</t>
  </si>
  <si>
    <t>Hệ thống từ chối tạo promotion và trả lỗi validation</t>
  </si>
  <si>
    <t>TCAPIPro14.png</t>
  </si>
  <si>
    <t>Thiếu promotion code trả lỗi đúng</t>
  </si>
  <si>
    <t>TC-API-PRO-015</t>
  </si>
  <si>
    <t>POST value không hợp lệ</t>
  </si>
  <si>
    <t>TCAPIPro15.png</t>
  </si>
  <si>
    <t>Value coupon vượt mức cho phép nên bị chặn</t>
  </si>
  <si>
    <t>TC-API-PRO-016</t>
  </si>
  <si>
    <t>POST ngày hết hạn nhỏ hơn ngày bắt đầu</t>
  </si>
  <si>
    <t>Admin gửi POST /api/promotions với expire_date nhỏ hơn start_date</t>
  </si>
  <si>
    <t>Hệ thống từ chối tạo promotion và trả lỗi thời gian không hợp lệ</t>
  </si>
  <si>
    <t>TCAPIPro16.png</t>
  </si>
  <si>
    <t>Expire date nhỏ hơn start date không tạo được</t>
  </si>
  <si>
    <t>TC-API-PRO-017</t>
  </si>
  <si>
    <t>POST availability âm</t>
  </si>
  <si>
    <t>Admin gửi POST /api/promotions với availability_count=-1</t>
  </si>
  <si>
    <t>Hệ thống từ chối tạo promotion và trả lỗi số lượt không hợp lệ</t>
  </si>
  <si>
    <t>TCAPIPro17.png</t>
  </si>
  <si>
    <t>Availability âm bị chặn đúng</t>
  </si>
  <si>
    <t>TC-API-PRO-018</t>
  </si>
  <si>
    <t>POST không có quyền admin</t>
  </si>
  <si>
    <t>Customer gửi POST /api/promotions với dữ liệu promotion hợp lệ</t>
  </si>
  <si>
    <t>Trả 403 Forbidden với lỗi “Bạn không có quyền truy cập tài nguyên này”</t>
  </si>
  <si>
    <t>TCAPIPro18.png</t>
  </si>
  <si>
    <t>Lỗi phân quyền API</t>
  </si>
  <si>
    <t>TCAPIPro18SauRetest.png</t>
  </si>
  <si>
    <t>Kiểm tra tạo order bằng POST /api/orders và cập nhật trạng thái order bằng PATCH /orders/{id}</t>
  </si>
  <si>
    <t>TC-API-ORD-001</t>
  </si>
  <si>
    <t>Tạo đơn hàng với promotion hợp lệ SUPER15</t>
  </si>
  <si>
    <t>POST /api/orders, body: sub_total_amount=100000, promotion_code=SUPER15</t>
  </si>
  <si>
    <t>Trả 201 Created; discount_amount=15000; final_amount=85000</t>
  </si>
  <si>
    <t>TCAPIOrd1.png</t>
  </si>
  <si>
    <t>Coupon hợp lệ hoạt động đúng</t>
  </si>
  <si>
    <t>TC-API-ORD-002</t>
  </si>
  <si>
    <t>Kiểm tra giới hạn giảm tối đa của SUPER15</t>
  </si>
  <si>
    <t>POST /api/orders, body: sub_total_amount=1000000, promotion_code=SUPER15</t>
  </si>
  <si>
    <t>Trả 201 Created; discount_amount=20000; final_amount=980000</t>
  </si>
  <si>
    <t>TCAPIOrd2.png</t>
  </si>
  <si>
    <t>Max discount hoạt động đúng</t>
  </si>
  <si>
    <t>TC-API-ORD-003</t>
  </si>
  <si>
    <t>Tạo order với mã 66</t>
  </si>
  <si>
    <t>POST /api/orders, body: promotion_code = 66, sub_total_amount = 10000</t>
  </si>
  <si>
    <t>Giảm giá 4000; final_amount = 6000</t>
  </si>
  <si>
    <t>TCAPIOrd3.png</t>
  </si>
  <si>
    <t>Tính discount đúng</t>
  </si>
  <si>
    <t>TC-API-ORD-004</t>
  </si>
  <si>
    <t>Tạo order không dùng promotion</t>
  </si>
  <si>
    <t>POST /api/orders, body: sub_total_amount = 8000000</t>
  </si>
  <si>
    <t>Trả 201 Created; discount_amount=0; final_amount=8000000</t>
  </si>
  <si>
    <t>TCAPIOrd4.png</t>
  </si>
  <si>
    <t>Tạo order không dùng mã khuyến mãi thành công</t>
  </si>
  <si>
    <t>2. Kiểm tra validation khi tạo order</t>
  </si>
  <si>
    <t>TC-API-ORD-005</t>
  </si>
  <si>
    <t>Tạo order thiếu sub_total_amount khi có promotion</t>
  </si>
  <si>
    <t>POST /api/orders, body chỉ có promotion_code=SUPER15</t>
  </si>
  <si>
    <t>Trả 400 Bad Request; message: “Giá trị đơn hàng không hợp lệ!”</t>
  </si>
  <si>
    <t>TCAPIOrd5.png</t>
  </si>
  <si>
    <t>API trả 500 khi thiếu sub_total_amount (#Issue 35)</t>
  </si>
  <si>
    <t>TCAPIOrd5SauRetest.png</t>
  </si>
  <si>
    <t>TC-API-ORD-006</t>
  </si>
  <si>
    <t>Tạo order dưới giá trị tối thiểu của promotion</t>
  </si>
  <si>
    <t>POST /api/orders, body: sub_total_amount=1999, promotion_code=SUPER15</t>
  </si>
  <si>
    <t>Hệ thống từ chối áp dụng promotion; trả 400 Bad Request</t>
  </si>
  <si>
    <t>TCAPIOrd6.png</t>
  </si>
  <si>
    <t>Validation min_order_value hoạt động đúng</t>
  </si>
  <si>
    <t>TC-API-ORD-007</t>
  </si>
  <si>
    <t>Tạo order với sub_total_amount = 0</t>
  </si>
  <si>
    <t>POST /api/orders, body: sub_total_amount=0</t>
  </si>
  <si>
    <t>Trả 400 Bad Request; message validate giá trị đơn hàng không hợp lệ</t>
  </si>
  <si>
    <t>TCAPIOrd7.png</t>
  </si>
  <si>
    <t>Không cho tạo order giá trị 0</t>
  </si>
  <si>
    <t>TC-API-ORD-008</t>
  </si>
  <si>
    <t>Tạo order với sub_total_amount âm</t>
  </si>
  <si>
    <t>POST /api/orders, body: promotion_code = SUPER15, sub_total_amount = -100000</t>
  </si>
  <si>
    <t>TCAPIOrd8.png</t>
  </si>
  <si>
    <t>Không cho tạo order giá trị âm</t>
  </si>
  <si>
    <t>TC-API-ORD-009</t>
  </si>
  <si>
    <t>Tạo order với sub_total_amount là chữ</t>
  </si>
  <si>
    <t>POST /api/orders, body: promotion_code = SUPER15, sub_total_amount = abc</t>
  </si>
  <si>
    <t>TCAPIOrd9.png</t>
  </si>
  <si>
    <t>Validation kiểu dữ liệu hoạt động đúng</t>
  </si>
  <si>
    <t>TC-API-ORD-010</t>
  </si>
  <si>
    <t>Tạo order với mã promotion không tồn tại</t>
  </si>
  <si>
    <t>POST /api/orders, body: promotion_code = ABCXYZ, sub_total_amount = 100000</t>
  </si>
  <si>
    <t>Trả 400 Bad Request; message mã khuyến mãi không hợp lệ/không tồn tại</t>
  </si>
  <si>
    <t>TCAPIOrd10.png</t>
  </si>
  <si>
    <t>Không áp dụng mã không tồn tại</t>
  </si>
  <si>
    <t>3. Kiểm tra authentication API</t>
  </si>
  <si>
    <t>TC-API-ORD-011</t>
  </si>
  <si>
    <t>Tạo order khi Basic Auth sai mật khẩu</t>
  </si>
  <si>
    <t>POST /api/orders, Basic Auth sai password, body: sub_total_amount = 100000</t>
  </si>
  <si>
    <t>Trả 401 Unauthorized; không tạo order</t>
  </si>
  <si>
    <t>TCAPIOrd11.png</t>
  </si>
  <si>
    <t>Authentication hoạt động đúng</t>
  </si>
  <si>
    <t>TC-API-ORD-012</t>
  </si>
  <si>
    <t>Cập nhật trạng thái order khi chưa đăng nhập</t>
  </si>
  <si>
    <t>PATCH /orders/999999, không gửi Authorization, body: status=CANCELLED</t>
  </si>
  <si>
    <t>Trả 401 Unauthorized; không cho cập nhật order</t>
  </si>
  <si>
    <t>TCAPIOrd12.png</t>
  </si>
  <si>
    <t>Kiểm tra authentication khi cập nhật order</t>
  </si>
  <si>
    <t>4. Kiểm tra cập nhật trạng thái order</t>
  </si>
  <si>
    <t>TC-API-ORD-013</t>
  </si>
  <si>
    <t>Cập nhật trạng thái cho order không tồn tại</t>
  </si>
  <si>
    <t>PATCH /orders/999999, body: status=CANCELLED</t>
  </si>
  <si>
    <t>Trả 404 Not Found; không cập nhật dữ liệu</t>
  </si>
  <si>
    <t>TCAPIOrd13.png</t>
  </si>
  <si>
    <t>Kiểm tra xử lý order không tồn tại</t>
  </si>
  <si>
    <t>TC-API-ORD-014</t>
  </si>
  <si>
    <t>Cập nhật trạng thái order hợp lệ</t>
  </si>
  <si>
    <t>PATCH /orders/14, body: status=COMPLETED</t>
  </si>
  <si>
    <t>Trả 204 No Content; trạng thái order được cập nhật thành COMPLETED</t>
  </si>
  <si>
    <t>TCAPIOrd14.png</t>
  </si>
  <si>
    <t>Kiểm tra update status hợp lệ</t>
  </si>
  <si>
    <t>TC-API-ORD-015</t>
  </si>
  <si>
    <t>Cập nhật order với trạng thái không hợp lệ</t>
  </si>
  <si>
    <t>PATCH /orders/13, body: status=ABCXYZ</t>
  </si>
  <si>
    <t>Trả 400 Bad Request; không cập nhật trạng thái order</t>
  </si>
  <si>
    <t>TCAPIOrd15.png</t>
  </si>
  <si>
    <t>Validation status hoạt động đúng</t>
  </si>
  <si>
    <t>TC-API-ORD-016</t>
  </si>
  <si>
    <t>Cập nhật order thiếu trường status</t>
  </si>
  <si>
    <t>PATCH /orders/13, không gửi field status</t>
  </si>
  <si>
    <t>TCAPIOrd16.png</t>
  </si>
  <si>
    <t>Kiểm tra validation khi thiếu status</t>
  </si>
  <si>
    <t>TC-API-ORD-017</t>
  </si>
  <si>
    <t>Không cho cập nhật trạng thái order đã hoàn tất</t>
  </si>
  <si>
    <t>PATCH /orders/14, body: status=PENDING</t>
  </si>
  <si>
    <t>Trả 400 Bad Request; không cho cập nhật vì order không còn ở trạng thái chờ xử lý</t>
  </si>
  <si>
    <t>TCAPIOrd17.png</t>
  </si>
  <si>
    <t>Chỉ cho cập nhật order đang PENDING</t>
  </si>
  <si>
    <t>TC-API-ORD-018</t>
  </si>
  <si>
    <t>Cập nhật order sang trạng thái CANCELLED</t>
  </si>
  <si>
    <t>PATCH /orders/12, body: status=CANCELLED</t>
  </si>
  <si>
    <t>Trả 204 No Content; trạng thái order được cập nhật thành CANCELLED</t>
  </si>
  <si>
    <t>TCAPIOrd18.png</t>
  </si>
  <si>
    <t>Kiểm tra hủy order đang chờ xử lý</t>
  </si>
  <si>
    <t>TEST REPORT</t>
  </si>
  <si>
    <t>Note:</t>
  </si>
  <si>
    <t>Báo cáo kết quả kiểm thử hệ thống Discounts Management</t>
  </si>
  <si>
    <t>Date</t>
  </si>
  <si>
    <t>No</t>
  </si>
  <si>
    <t>Module code</t>
  </si>
  <si>
    <t>Number of test cases</t>
  </si>
  <si>
    <t>AUTH</t>
  </si>
  <si>
    <t>USER</t>
  </si>
  <si>
    <t>ORD</t>
  </si>
  <si>
    <t>PRO</t>
  </si>
  <si>
    <t>STAT</t>
  </si>
  <si>
    <t>API_PRO</t>
  </si>
  <si>
    <t>API_ORD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</si>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</sst>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.m"/>
    <numFmt numFmtId="165" formatCode="dd/mm/yyyy"/>
    <numFmt numFmtId="166" formatCode="d-m"/>
  </numFmts>
  <fonts count="30">
    <font>
      <sz val="10.0"/>
      <color rgb="FF000000"/>
      <name val="Arial"/>
      <scheme val="minor"/>
    </font>
    <font>
      <sz val="11.0"/>
      <color rgb="FF000000"/>
      <name val="Tahoma"/>
    </font>
    <font>
      <b/>
      <sz val="18.0"/>
      <color rgb="FF000000"/>
      <name val="Tahoma"/>
    </font>
    <font>
      <b/>
      <color rgb="FF993300"/>
      <name val="Tahoma"/>
    </font>
    <font>
      <color rgb="FF000000"/>
      <name val="Tahoma"/>
    </font>
    <font/>
    <font>
      <b/>
      <color rgb="FFFFFFFF"/>
      <name val="Tahoma"/>
    </font>
    <font>
      <color theme="1"/>
      <name val="Arial"/>
      <scheme val="minor"/>
    </font>
    <font>
      <b/>
      <color rgb="FF000000"/>
      <name val="Tahoma"/>
    </font>
    <font>
      <sz val="8.0"/>
      <color rgb="FF000000"/>
      <name val="Tahoma"/>
    </font>
    <font>
      <u/>
      <sz val="14.0"/>
      <color rgb="FF000000"/>
      <name val="Times New Roman"/>
    </font>
    <font>
      <color rgb="FF000000"/>
      <name val="Arial"/>
    </font>
    <font>
      <b/>
      <sz val="12.0"/>
      <color rgb="FFFFFFFF"/>
      <name val="Tahoma"/>
    </font>
    <font>
      <color theme="1"/>
      <name val="Tahoma"/>
    </font>
    <font>
      <u/>
      <color theme="1"/>
      <name val="Arial"/>
      <scheme val="minor"/>
    </font>
    <font>
      <color rgb="FFFF0000"/>
      <name val="Tahoma"/>
    </font>
    <font>
      <u/>
      <color theme="1"/>
      <name val="Tahoma"/>
    </font>
    <font>
      <u/>
      <color theme="1"/>
      <name val="Tahoma"/>
    </font>
    <font>
      <color theme="1"/>
      <name val="Arial"/>
    </font>
    <font>
      <u/>
      <color theme="1"/>
      <name val="Tahoma"/>
    </font>
    <font>
      <u/>
      <color rgb="FF000000"/>
      <name val="Tahoma"/>
    </font>
    <font>
      <color rgb="FF1F1F1F"/>
      <name val="Tahoma"/>
    </font>
    <font>
      <u/>
      <color rgb="FF000000"/>
      <name val="Tahoma"/>
    </font>
    <font>
      <u/>
      <color theme="1"/>
      <name val="Arial"/>
    </font>
    <font>
      <b/>
      <color theme="1"/>
      <name val="Tahoma"/>
    </font>
    <font>
      <sz val="11.0"/>
      <color theme="1"/>
      <name val="Carlito"/>
    </font>
    <font>
      <sz val="11.0"/>
      <color rgb="FF000000"/>
      <name val="ＭＳ Ｐゴシック"/>
    </font>
    <font>
      <color rgb="FF000000"/>
      <name val="ＭＳ Ｐゴシック"/>
    </font>
    <font>
      <color rgb="FFFFFFFF"/>
      <name val="Tahoma"/>
    </font>
    <font>
      <b/>
      <color rgb="FF0000FF"/>
      <name val="Tahoma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003366"/>
        <bgColor rgb="FF003366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2" fontId="1" numFmtId="0" xfId="0" applyAlignment="1" applyFill="1" applyFont="1">
      <alignment shrinkToFit="0" vertical="bottom" wrapText="0"/>
    </xf>
    <xf borderId="0" fillId="2" fontId="2" numFmtId="0" xfId="0" applyAlignment="1" applyFont="1">
      <alignment readingOrder="0" shrinkToFit="0" vertical="bottom" wrapText="0"/>
    </xf>
    <xf borderId="0" fillId="2" fontId="3" numFmtId="0" xfId="0" applyAlignment="1" applyFont="1">
      <alignment readingOrder="0" shrinkToFit="0" vertical="bottom" wrapText="0"/>
    </xf>
    <xf borderId="0" fillId="2" fontId="4" numFmtId="164" xfId="0" applyAlignment="1" applyFont="1" applyNumberFormat="1">
      <alignment horizontal="left" readingOrder="0" shrinkToFit="0" vertical="bottom" wrapText="0"/>
    </xf>
    <xf borderId="0" fillId="2" fontId="4" numFmtId="0" xfId="0" applyAlignment="1" applyFont="1">
      <alignment shrinkToFit="0" vertical="bottom" wrapText="0"/>
    </xf>
    <xf borderId="0" fillId="0" fontId="4" numFmtId="165" xfId="0" applyAlignment="1" applyFont="1" applyNumberFormat="1">
      <alignment horizontal="left" readingOrder="0" shrinkToFit="0" vertical="bottom" wrapText="0"/>
    </xf>
    <xf borderId="0" fillId="0" fontId="4" numFmtId="0" xfId="0" applyAlignment="1" applyFont="1">
      <alignment horizontal="left" shrinkToFit="0" vertical="bottom" wrapText="0"/>
    </xf>
    <xf borderId="0" fillId="2" fontId="3" numFmtId="0" xfId="0" applyAlignment="1" applyFont="1">
      <alignment shrinkToFit="0" vertical="bottom" wrapText="0"/>
    </xf>
    <xf borderId="1" fillId="2" fontId="4" numFmtId="0" xfId="0" applyAlignment="1" applyBorder="1" applyFont="1">
      <alignment horizontal="left" readingOrder="0" vertical="bottom"/>
    </xf>
    <xf borderId="2" fillId="0" fontId="5" numFmtId="0" xfId="0" applyBorder="1" applyFont="1"/>
    <xf borderId="3" fillId="0" fontId="5" numFmtId="0" xfId="0" applyBorder="1" applyFont="1"/>
    <xf borderId="0" fillId="0" fontId="4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4" fillId="3" fontId="6" numFmtId="0" xfId="0" applyAlignment="1" applyBorder="1" applyFill="1" applyFont="1">
      <alignment horizontal="center" readingOrder="0" shrinkToFit="0" wrapText="0"/>
    </xf>
    <xf borderId="4" fillId="3" fontId="6" numFmtId="0" xfId="0" applyAlignment="1" applyBorder="1" applyFont="1">
      <alignment horizontal="center" readingOrder="0"/>
    </xf>
    <xf borderId="4" fillId="0" fontId="4" numFmtId="165" xfId="0" applyAlignment="1" applyBorder="1" applyFont="1" applyNumberFormat="1">
      <alignment horizontal="center" readingOrder="0" shrinkToFit="0" wrapText="0"/>
    </xf>
    <xf borderId="4" fillId="0" fontId="4" numFmtId="0" xfId="0" applyAlignment="1" applyBorder="1" applyFont="1">
      <alignment horizontal="center"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horizontal="left" readingOrder="0"/>
    </xf>
    <xf borderId="4" fillId="0" fontId="4" numFmtId="0" xfId="0" applyAlignment="1" applyBorder="1" applyFont="1">
      <alignment readingOrder="0"/>
    </xf>
    <xf borderId="4" fillId="0" fontId="4" numFmtId="165" xfId="0" applyAlignment="1" applyBorder="1" applyFont="1" applyNumberFormat="1">
      <alignment horizontal="center" readingOrder="0" shrinkToFit="0" vertical="bottom" wrapText="0"/>
    </xf>
    <xf borderId="4" fillId="0" fontId="7" numFmtId="0" xfId="0" applyAlignment="1" applyBorder="1" applyFont="1">
      <alignment horizontal="center" readingOrder="0"/>
    </xf>
    <xf borderId="0" fillId="0" fontId="4" numFmtId="0" xfId="0" applyAlignment="1" applyFont="1">
      <alignment shrinkToFit="0" wrapText="0"/>
    </xf>
    <xf borderId="4" fillId="0" fontId="4" numFmtId="0" xfId="0" applyAlignment="1" applyBorder="1" applyFont="1">
      <alignment readingOrder="0" shrinkToFit="0" wrapText="0"/>
    </xf>
    <xf borderId="4" fillId="0" fontId="4" numFmtId="164" xfId="0" applyAlignment="1" applyBorder="1" applyFont="1" applyNumberFormat="1">
      <alignment horizontal="center" readingOrder="0" shrinkToFit="0" wrapText="0"/>
    </xf>
    <xf borderId="0" fillId="2" fontId="8" numFmtId="0" xfId="0" applyAlignment="1" applyFont="1">
      <alignment readingOrder="0" shrinkToFit="0" vertical="bottom" wrapText="0"/>
    </xf>
    <xf borderId="0" fillId="2" fontId="9" numFmtId="0" xfId="0" applyAlignment="1" applyFont="1">
      <alignment horizontal="center" shrinkToFit="0" vertical="bottom" wrapText="0"/>
    </xf>
    <xf borderId="0" fillId="2" fontId="9" numFmtId="0" xfId="0" applyAlignment="1" applyFont="1">
      <alignment shrinkToFit="0" vertical="bottom" wrapText="0"/>
    </xf>
    <xf borderId="5" fillId="0" fontId="5" numFmtId="0" xfId="0" applyBorder="1" applyFont="1"/>
    <xf borderId="0" fillId="0" fontId="10" numFmtId="0" xfId="0" applyAlignment="1" applyFont="1">
      <alignment readingOrder="0" shrinkToFit="0" vertical="bottom" wrapText="0"/>
    </xf>
    <xf borderId="1" fillId="2" fontId="4" numFmtId="0" xfId="0" applyAlignment="1" applyBorder="1" applyFont="1">
      <alignment horizontal="left" readingOrder="0" shrinkToFit="0" vertical="bottom" wrapText="0"/>
    </xf>
    <xf borderId="0" fillId="2" fontId="4" numFmtId="0" xfId="0" applyAlignment="1" applyFont="1">
      <alignment horizontal="left" shrinkToFit="0" vertical="bottom" wrapText="0"/>
    </xf>
    <xf borderId="0" fillId="2" fontId="4" numFmtId="0" xfId="0" applyAlignment="1" applyFont="1">
      <alignment horizontal="center" shrinkToFit="0" vertical="bottom" wrapText="0"/>
    </xf>
    <xf borderId="0" fillId="0" fontId="11" numFmtId="0" xfId="0" applyAlignment="1" applyFont="1">
      <alignment shrinkToFit="0" vertical="bottom" wrapText="0"/>
    </xf>
    <xf borderId="4" fillId="2" fontId="8" numFmtId="0" xfId="0" applyAlignment="1" applyBorder="1" applyFont="1">
      <alignment horizontal="left" readingOrder="0" shrinkToFit="0" vertical="bottom" wrapText="0"/>
    </xf>
    <xf borderId="1" fillId="2" fontId="4" numFmtId="0" xfId="0" applyAlignment="1" applyBorder="1" applyFont="1">
      <alignment horizontal="left" readingOrder="0" shrinkToFit="0" vertical="top" wrapText="0"/>
    </xf>
    <xf borderId="4" fillId="2" fontId="4" numFmtId="0" xfId="0" applyAlignment="1" applyBorder="1" applyFont="1">
      <alignment horizontal="right" readingOrder="0" shrinkToFit="0" vertical="bottom" wrapText="0"/>
    </xf>
    <xf borderId="4" fillId="2" fontId="4" numFmtId="0" xfId="0" applyAlignment="1" applyBorder="1" applyFont="1">
      <alignment horizontal="center" readingOrder="0" shrinkToFit="0" vertical="bottom" wrapText="0"/>
    </xf>
    <xf borderId="4" fillId="0" fontId="4" numFmtId="0" xfId="0" applyAlignment="1" applyBorder="1" applyFont="1">
      <alignment horizontal="center" readingOrder="0" shrinkToFit="0" vertical="bottom" wrapText="0"/>
    </xf>
    <xf borderId="2" fillId="2" fontId="4" numFmtId="0" xfId="0" applyAlignment="1" applyBorder="1" applyFont="1">
      <alignment horizontal="center" shrinkToFit="0" vertical="bottom" wrapText="0"/>
    </xf>
    <xf borderId="2" fillId="0" fontId="11" numFmtId="0" xfId="0" applyAlignment="1" applyBorder="1" applyFont="1">
      <alignment shrinkToFit="0" vertical="bottom" wrapText="0"/>
    </xf>
    <xf borderId="5" fillId="2" fontId="4" numFmtId="0" xfId="0" applyAlignment="1" applyBorder="1" applyFont="1">
      <alignment horizontal="center" shrinkToFit="0" vertical="bottom" wrapText="0"/>
    </xf>
    <xf borderId="6" fillId="4" fontId="6" numFmtId="0" xfId="0" applyAlignment="1" applyBorder="1" applyFill="1" applyFont="1">
      <alignment horizontal="center" readingOrder="0" shrinkToFit="0" vertical="bottom" wrapText="0"/>
    </xf>
    <xf borderId="6" fillId="4" fontId="6" numFmtId="0" xfId="0" applyAlignment="1" applyBorder="1" applyFont="1">
      <alignment readingOrder="0" shrinkToFit="0" vertical="bottom" wrapText="0"/>
    </xf>
    <xf borderId="7" fillId="4" fontId="6" numFmtId="0" xfId="0" applyAlignment="1" applyBorder="1" applyFont="1">
      <alignment horizontal="center" readingOrder="0" shrinkToFit="0" vertical="bottom" wrapText="0"/>
    </xf>
    <xf borderId="8" fillId="4" fontId="6" numFmtId="0" xfId="0" applyAlignment="1" applyBorder="1" applyFont="1">
      <alignment horizontal="center" readingOrder="0" shrinkToFit="0" vertical="bottom" wrapText="0"/>
    </xf>
    <xf borderId="9" fillId="0" fontId="5" numFmtId="0" xfId="0" applyBorder="1" applyFont="1"/>
    <xf borderId="10" fillId="0" fontId="5" numFmtId="0" xfId="0" applyBorder="1" applyFont="1"/>
    <xf borderId="3" fillId="5" fontId="12" numFmtId="0" xfId="0" applyAlignment="1" applyBorder="1" applyFill="1" applyFont="1">
      <alignment horizontal="left" shrinkToFit="0" vertical="bottom" wrapText="0"/>
    </xf>
    <xf borderId="1" fillId="6" fontId="8" numFmtId="0" xfId="0" applyAlignment="1" applyBorder="1" applyFill="1" applyFont="1">
      <alignment horizontal="left" readingOrder="0" shrinkToFit="0" vertical="bottom" wrapText="0"/>
    </xf>
    <xf borderId="4" fillId="0" fontId="4" numFmtId="0" xfId="0" applyAlignment="1" applyBorder="1" applyFont="1">
      <alignment horizontal="left" readingOrder="0" shrinkToFit="0" vertical="top" wrapText="0"/>
    </xf>
    <xf borderId="4" fillId="0" fontId="13" numFmtId="0" xfId="0" applyAlignment="1" applyBorder="1" applyFont="1">
      <alignment vertical="top"/>
    </xf>
    <xf borderId="1" fillId="0" fontId="4" numFmtId="0" xfId="0" applyAlignment="1" applyBorder="1" applyFont="1">
      <alignment horizontal="left" readingOrder="0" shrinkToFit="0" vertical="top" wrapText="0"/>
    </xf>
    <xf borderId="4" fillId="0" fontId="14" numFmtId="0" xfId="0" applyAlignment="1" applyBorder="1" applyFont="1">
      <alignment readingOrder="0"/>
    </xf>
    <xf borderId="1" fillId="0" fontId="15" numFmtId="166" xfId="0" applyAlignment="1" applyBorder="1" applyFont="1" applyNumberFormat="1">
      <alignment horizontal="left" readingOrder="0" shrinkToFit="0" vertical="top" wrapText="0"/>
    </xf>
    <xf borderId="4" fillId="0" fontId="13" numFmtId="0" xfId="0" applyAlignment="1" applyBorder="1" applyFont="1">
      <alignment readingOrder="0" vertical="top"/>
    </xf>
    <xf borderId="4" fillId="0" fontId="16" numFmtId="0" xfId="0" applyAlignment="1" applyBorder="1" applyFont="1">
      <alignment horizontal="left" readingOrder="0" shrinkToFit="0" vertical="top" wrapText="0"/>
    </xf>
    <xf borderId="4" fillId="0" fontId="17" numFmtId="0" xfId="0" applyAlignment="1" applyBorder="1" applyFont="1">
      <alignment readingOrder="0" vertical="top"/>
    </xf>
    <xf borderId="1" fillId="0" fontId="13" numFmtId="0" xfId="0" applyAlignment="1" applyBorder="1" applyFont="1">
      <alignment vertical="top"/>
    </xf>
    <xf borderId="2" fillId="0" fontId="18" numFmtId="0" xfId="0" applyAlignment="1" applyBorder="1" applyFont="1">
      <alignment vertical="bottom"/>
    </xf>
    <xf borderId="4" fillId="0" fontId="19" numFmtId="0" xfId="0" applyAlignment="1" applyBorder="1" applyFont="1">
      <alignment readingOrder="0" vertical="top"/>
    </xf>
    <xf borderId="4" fillId="0" fontId="13" numFmtId="0" xfId="0" applyAlignment="1" applyBorder="1" applyFont="1">
      <alignment horizontal="left" readingOrder="0" shrinkToFit="0" vertical="top" wrapText="0"/>
    </xf>
    <xf borderId="1" fillId="0" fontId="13" numFmtId="0" xfId="0" applyAlignment="1" applyBorder="1" applyFont="1">
      <alignment readingOrder="0" vertical="top"/>
    </xf>
    <xf borderId="4" fillId="0" fontId="20" numFmtId="0" xfId="0" applyAlignment="1" applyBorder="1" applyFont="1">
      <alignment horizontal="left" readingOrder="0" shrinkToFit="0" vertical="top" wrapText="0"/>
    </xf>
    <xf borderId="4" fillId="0" fontId="21" numFmtId="0" xfId="0" applyAlignment="1" applyBorder="1" applyFont="1">
      <alignment horizontal="left" readingOrder="0" shrinkToFit="0" vertical="top" wrapText="0"/>
    </xf>
    <xf borderId="3" fillId="0" fontId="11" numFmtId="0" xfId="0" applyAlignment="1" applyBorder="1" applyFont="1">
      <alignment shrinkToFit="0" vertical="bottom" wrapText="0"/>
    </xf>
    <xf borderId="4" fillId="0" fontId="22" numFmtId="0" xfId="0" applyAlignment="1" applyBorder="1" applyFont="1">
      <alignment horizontal="left" readingOrder="0" shrinkToFit="0" vertical="top" wrapText="0"/>
    </xf>
    <xf borderId="4" fillId="0" fontId="23" numFmtId="0" xfId="0" applyAlignment="1" applyBorder="1" applyFont="1">
      <alignment readingOrder="0" vertical="top"/>
    </xf>
    <xf borderId="0" fillId="2" fontId="24" numFmtId="0" xfId="0" applyAlignment="1" applyFont="1">
      <alignment vertical="bottom"/>
    </xf>
    <xf borderId="0" fillId="2" fontId="18" numFmtId="0" xfId="0" applyAlignment="1" applyFont="1">
      <alignment vertical="bottom"/>
    </xf>
    <xf borderId="0" fillId="0" fontId="18" numFmtId="0" xfId="0" applyAlignment="1" applyFont="1">
      <alignment vertical="bottom"/>
    </xf>
    <xf borderId="4" fillId="2" fontId="24" numFmtId="0" xfId="0" applyAlignment="1" applyBorder="1" applyFont="1">
      <alignment vertical="bottom"/>
    </xf>
    <xf borderId="1" fillId="2" fontId="13" numFmtId="0" xfId="0" applyAlignment="1" applyBorder="1" applyFont="1">
      <alignment vertical="bottom"/>
    </xf>
    <xf borderId="1" fillId="2" fontId="13" numFmtId="0" xfId="0" applyAlignment="1" applyBorder="1" applyFont="1">
      <alignment readingOrder="0" vertical="top"/>
    </xf>
    <xf borderId="4" fillId="2" fontId="13" numFmtId="0" xfId="0" applyAlignment="1" applyBorder="1" applyFont="1">
      <alignment horizontal="right" vertical="bottom"/>
    </xf>
    <xf borderId="4" fillId="2" fontId="13" numFmtId="0" xfId="0" applyAlignment="1" applyBorder="1" applyFont="1">
      <alignment horizontal="center" vertical="bottom"/>
    </xf>
    <xf borderId="4" fillId="0" fontId="13" numFmtId="0" xfId="0" applyAlignment="1" applyBorder="1" applyFont="1">
      <alignment horizontal="center" vertical="bottom"/>
    </xf>
    <xf borderId="2" fillId="2" fontId="18" numFmtId="0" xfId="0" applyAlignment="1" applyBorder="1" applyFont="1">
      <alignment vertical="bottom"/>
    </xf>
    <xf borderId="5" fillId="2" fontId="18" numFmtId="0" xfId="0" applyAlignment="1" applyBorder="1" applyFont="1">
      <alignment vertical="bottom"/>
    </xf>
    <xf borderId="6" fillId="4" fontId="6" numFmtId="0" xfId="0" applyAlignment="1" applyBorder="1" applyFont="1">
      <alignment horizontal="center" vertical="bottom"/>
    </xf>
    <xf borderId="6" fillId="4" fontId="6" numFmtId="0" xfId="0" applyAlignment="1" applyBorder="1" applyFont="1">
      <alignment vertical="bottom"/>
    </xf>
    <xf borderId="7" fillId="4" fontId="6" numFmtId="0" xfId="0" applyAlignment="1" applyBorder="1" applyFont="1">
      <alignment horizontal="center" vertical="bottom"/>
    </xf>
    <xf borderId="8" fillId="4" fontId="6" numFmtId="0" xfId="0" applyAlignment="1" applyBorder="1" applyFont="1">
      <alignment horizontal="center" vertical="bottom"/>
    </xf>
    <xf borderId="3" fillId="5" fontId="18" numFmtId="0" xfId="0" applyAlignment="1" applyBorder="1" applyFont="1">
      <alignment vertical="bottom"/>
    </xf>
    <xf borderId="3" fillId="0" fontId="18" numFmtId="0" xfId="0" applyAlignment="1" applyBorder="1" applyFont="1">
      <alignment vertical="bottom"/>
    </xf>
    <xf borderId="1" fillId="6" fontId="24" numFmtId="0" xfId="0" applyAlignment="1" applyBorder="1" applyFont="1">
      <alignment readingOrder="0" vertical="bottom"/>
    </xf>
    <xf borderId="4" fillId="0" fontId="13" numFmtId="0" xfId="0" applyAlignment="1" applyBorder="1" applyFont="1">
      <alignment vertical="top"/>
    </xf>
    <xf borderId="0" fillId="0" fontId="25" numFmtId="0" xfId="0" applyAlignment="1" applyFont="1">
      <alignment vertical="top"/>
    </xf>
    <xf borderId="1" fillId="0" fontId="13" numFmtId="0" xfId="0" applyAlignment="1" applyBorder="1" applyFont="1">
      <alignment vertical="top"/>
    </xf>
    <xf borderId="0" fillId="0" fontId="18" numFmtId="0" xfId="0" applyAlignment="1" applyFont="1">
      <alignment readingOrder="0" vertical="bottom"/>
    </xf>
    <xf borderId="4" fillId="0" fontId="4" numFmtId="0" xfId="0" applyAlignment="1" applyBorder="1" applyFont="1">
      <alignment readingOrder="0" shrinkToFit="0" vertical="top" wrapText="0"/>
    </xf>
    <xf borderId="0" fillId="0" fontId="7" numFmtId="0" xfId="0" applyAlignment="1" applyFont="1">
      <alignment readingOrder="0"/>
    </xf>
    <xf borderId="11" fillId="0" fontId="7" numFmtId="0" xfId="0" applyAlignment="1" applyBorder="1" applyFont="1">
      <alignment readingOrder="0"/>
    </xf>
    <xf borderId="2" fillId="0" fontId="4" numFmtId="0" xfId="0" applyAlignment="1" applyBorder="1" applyFont="1">
      <alignment horizontal="left" readingOrder="0" shrinkToFit="0" vertical="top" wrapText="0"/>
    </xf>
    <xf borderId="0" fillId="0" fontId="2" numFmtId="0" xfId="0" applyAlignment="1" applyFont="1">
      <alignment readingOrder="0" shrinkToFit="0" vertical="bottom" wrapText="0"/>
    </xf>
    <xf borderId="0" fillId="0" fontId="8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6" numFmtId="0" xfId="0" applyAlignment="1" applyFont="1">
      <alignment shrinkToFit="0" vertical="bottom" wrapText="0"/>
    </xf>
    <xf borderId="0" fillId="0" fontId="4" numFmtId="0" xfId="0" applyAlignment="1" applyFont="1">
      <alignment readingOrder="0" shrinkToFit="0" vertical="bottom" wrapText="0"/>
    </xf>
    <xf borderId="7" fillId="0" fontId="4" numFmtId="165" xfId="0" applyAlignment="1" applyBorder="1" applyFont="1" applyNumberFormat="1">
      <alignment horizontal="center" readingOrder="0" shrinkToFit="0" vertical="bottom" wrapText="0"/>
    </xf>
    <xf borderId="12" fillId="3" fontId="6" numFmtId="0" xfId="0" applyAlignment="1" applyBorder="1" applyFont="1">
      <alignment horizontal="center" readingOrder="0" shrinkToFit="0" vertical="bottom" wrapText="0"/>
    </xf>
    <xf borderId="11" fillId="3" fontId="6" numFmtId="0" xfId="0" applyAlignment="1" applyBorder="1" applyFont="1">
      <alignment horizontal="center" readingOrder="0" shrinkToFit="0" vertical="bottom" wrapText="0"/>
    </xf>
    <xf borderId="11" fillId="3" fontId="6" numFmtId="0" xfId="0" applyAlignment="1" applyBorder="1" applyFont="1">
      <alignment horizontal="center" readingOrder="0" vertical="bottom"/>
    </xf>
    <xf borderId="13" fillId="3" fontId="6" numFmtId="0" xfId="0" applyAlignment="1" applyBorder="1" applyFont="1">
      <alignment horizontal="center" readingOrder="0" vertical="bottom"/>
    </xf>
    <xf borderId="0" fillId="0" fontId="4" numFmtId="0" xfId="0" applyAlignment="1" applyFont="1">
      <alignment vertical="bottom"/>
    </xf>
    <xf borderId="7" fillId="0" fontId="4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/>
    </xf>
    <xf borderId="14" fillId="0" fontId="4" numFmtId="0" xfId="0" applyAlignment="1" applyBorder="1" applyFont="1">
      <alignment horizontal="center" readingOrder="0"/>
    </xf>
    <xf borderId="0" fillId="0" fontId="27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10" fillId="3" fontId="28" numFmtId="0" xfId="0" applyAlignment="1" applyBorder="1" applyFont="1">
      <alignment horizontal="center" shrinkToFit="0" vertical="bottom" wrapText="0"/>
    </xf>
    <xf borderId="5" fillId="3" fontId="6" numFmtId="0" xfId="0" applyAlignment="1" applyBorder="1" applyFont="1">
      <alignment readingOrder="0" shrinkToFit="0" vertical="bottom" wrapText="0"/>
    </xf>
    <xf borderId="5" fillId="3" fontId="28" numFmtId="0" xfId="0" applyAlignment="1" applyBorder="1" applyFont="1">
      <alignment horizontal="center" readingOrder="0" shrinkToFit="0" vertical="bottom" wrapText="0"/>
    </xf>
    <xf borderId="15" fillId="3" fontId="2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29" numFmtId="0" xfId="0" applyAlignment="1" applyFont="1">
      <alignment horizontal="right" readingOrder="0" vertical="bottom"/>
    </xf>
    <xf borderId="0" fillId="0" fontId="4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hyperlink" Target="https://drive.google.com/file/d/182eefYYjCQs8Nn8SZkCBuV6amgnUXVfx/view?usp=sharing" TargetMode="External"/><Relationship Id="rId10" Type="http://schemas.openxmlformats.org/officeDocument/2006/relationships/hyperlink" Target="https://drive.google.com/file/d/1lnzMMEmXI3Up6fGTse82GM9H45LPle1v/view?usp=sharing" TargetMode="External"/><Relationship Id="rId13" Type="http://schemas.openxmlformats.org/officeDocument/2006/relationships/hyperlink" Target="https://drive.google.com/file/d/1iN5bw3FCNZzrpVjRM5pUDPBaLLmTVe6E/view?usp=sharing" TargetMode="External"/><Relationship Id="rId12" Type="http://schemas.openxmlformats.org/officeDocument/2006/relationships/hyperlink" Target="https://drive.google.com/file/d/1sXF1IqT34XB4PYTyBjI5-A8n-B8Rd7U6/view?usp=sharing" TargetMode="External"/><Relationship Id="rId1" Type="http://schemas.openxmlformats.org/officeDocument/2006/relationships/hyperlink" Target="https://docs.google.com/spreadsheets/d/1H0kBUBCjG8Yo2cHSmgkZvUed522hQ2V4T5Hsqj3oYzI/edit?gid=0" TargetMode="External"/><Relationship Id="rId2" Type="http://schemas.openxmlformats.org/officeDocument/2006/relationships/hyperlink" Target="https://drive.google.com/file/d/1B8a8rngq_g9WKn8i5GbVnQj0HkbSWltR/view?usp=sharing" TargetMode="External"/><Relationship Id="rId3" Type="http://schemas.openxmlformats.org/officeDocument/2006/relationships/hyperlink" Target="https://drive.google.com/file/d/1l0nLmKo-iNDJzMlboe0dfFkk-B_w9sTF/view?usp=sharing" TargetMode="External"/><Relationship Id="rId4" Type="http://schemas.openxmlformats.org/officeDocument/2006/relationships/hyperlink" Target="https://drive.google.com/file/d/1ol_TO33uwRR9O8K1ASOMFOIpsdJXjaYk/view?usp=sharing" TargetMode="External"/><Relationship Id="rId9" Type="http://schemas.openxmlformats.org/officeDocument/2006/relationships/hyperlink" Target="https://drive.google.com/file/d/1ol_TO33uwRR9O8K1ASOMFOIpsdJXjaYk/view?usp=sharing" TargetMode="External"/><Relationship Id="rId15" Type="http://schemas.openxmlformats.org/officeDocument/2006/relationships/hyperlink" Target="https://drive.google.com/file/d/1H_Uo3LVqgBkFHp7h5ztk8vnXxfvFg46U/view?usp=sharing" TargetMode="External"/><Relationship Id="rId14" Type="http://schemas.openxmlformats.org/officeDocument/2006/relationships/hyperlink" Target="https://drive.google.com/file/d/1wABj0F3CjqeJs3dYjKhZUorkN0BewGg6/view?usp=sharing" TargetMode="External"/><Relationship Id="rId16" Type="http://schemas.openxmlformats.org/officeDocument/2006/relationships/drawing" Target="../drawings/drawing2.xml"/><Relationship Id="rId5" Type="http://schemas.openxmlformats.org/officeDocument/2006/relationships/hyperlink" Target="https://drive.google.com/file/d/1_jU4PoykUMk1eDwWIrJ4iQ__hkUs1yLf/view?usp=sharing" TargetMode="External"/><Relationship Id="rId6" Type="http://schemas.openxmlformats.org/officeDocument/2006/relationships/hyperlink" Target="https://drive.google.com/file/d/1v3X8ZcVLJgfVN35JPwD_jvNAlrrOAdt4/view?usp=sharing" TargetMode="External"/><Relationship Id="rId7" Type="http://schemas.openxmlformats.org/officeDocument/2006/relationships/hyperlink" Target="https://drive.google.com/file/d/1ol_TO33uwRR9O8K1ASOMFOIpsdJXjaYk/view?usp=sharing" TargetMode="External"/><Relationship Id="rId8" Type="http://schemas.openxmlformats.org/officeDocument/2006/relationships/hyperlink" Target="https://drive.google.com/file/d/1hJ63hsA4moO63FDDZ0SNChq-1XUuQr2Q/view?usp=sharing" TargetMode="Externa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drawing" Target="../drawings/drawing3.xml"/><Relationship Id="rId10" Type="http://schemas.openxmlformats.org/officeDocument/2006/relationships/hyperlink" Target="https://drive.google.com/file/d/18BTfsCV85ep01JNPZKct_0F_Lp-utlTt/view?usp=sharing" TargetMode="External"/><Relationship Id="rId1" Type="http://schemas.openxmlformats.org/officeDocument/2006/relationships/hyperlink" Target="https://drive.google.com/file/d/1JOPhnpOuRnYiPRGWIx3mkqPuWHiO49tN/view?usp=sharing" TargetMode="External"/><Relationship Id="rId2" Type="http://schemas.openxmlformats.org/officeDocument/2006/relationships/hyperlink" Target="https://drive.google.com/file/d/1q-pMJCG1fmtZK-pqoOZ4jQuH1_gH4tAv/view?usp=sharing" TargetMode="External"/><Relationship Id="rId3" Type="http://schemas.openxmlformats.org/officeDocument/2006/relationships/hyperlink" Target="https://drive.google.com/file/d/1FJXfE5H8-b7wzqSupBwfPOyOnGEEO7HE/view?usp=sharing" TargetMode="External"/><Relationship Id="rId4" Type="http://schemas.openxmlformats.org/officeDocument/2006/relationships/hyperlink" Target="https://drive.google.com/file/d/1KYU76YYYzO3gE1GWyqO6iFyGXtWQxoLI/view?usp=sharing" TargetMode="External"/><Relationship Id="rId9" Type="http://schemas.openxmlformats.org/officeDocument/2006/relationships/hyperlink" Target="https://drive.google.com/file/d/16vcnsa0rDGfUu6TSh5wO82QgExMkYogG/view?usp=sharing" TargetMode="External"/><Relationship Id="rId5" Type="http://schemas.openxmlformats.org/officeDocument/2006/relationships/hyperlink" Target="https://drive.google.com/file/d/1FoL32iGvdRw74WXGEvZJz3tPvqrO6zY5/view?usp=sharing" TargetMode="External"/><Relationship Id="rId6" Type="http://schemas.openxmlformats.org/officeDocument/2006/relationships/hyperlink" Target="https://drive.google.com/file/d/1IxDtcMocs1jiAtwaXLdIMXt1NsXkbUk7/view?usp=sharing" TargetMode="External"/><Relationship Id="rId7" Type="http://schemas.openxmlformats.org/officeDocument/2006/relationships/hyperlink" Target="https://drive.google.com/file/d/14dgBFEz_m20JgJnHoTmsXHjQBJGuUm0Q/view?usp=sharing" TargetMode="External"/><Relationship Id="rId8" Type="http://schemas.openxmlformats.org/officeDocument/2006/relationships/hyperlink" Target="https://drive.google.com/file/d/1n5Pkxt-aVu72pMoTp0Ds5fuwDd4rX_aG/view?usp=sharing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GKl3p0uaZ2XDi-05GbaJBkY8pSCa0nnz/view?usp=sharing" TargetMode="External"/><Relationship Id="rId2" Type="http://schemas.openxmlformats.org/officeDocument/2006/relationships/hyperlink" Target="https://drive.google.com/file/d/1LWssz4lkNHULIU1YKQ7285o14zQ94CnL/view?usp=sharing" TargetMode="External"/><Relationship Id="rId3" Type="http://schemas.openxmlformats.org/officeDocument/2006/relationships/hyperlink" Target="https://drive.google.com/file/d/1StUbZ_1JjlU9nPabPtlrP2CpmvbfIXX1/view?usp=sharing" TargetMode="External"/><Relationship Id="rId4" Type="http://schemas.openxmlformats.org/officeDocument/2006/relationships/hyperlink" Target="https://drive.google.com/file/d/1MhR8Y-ewCspUirDEIiC8HeKquFhrR_jz/view?usp=sharing" TargetMode="External"/><Relationship Id="rId5" Type="http://schemas.openxmlformats.org/officeDocument/2006/relationships/hyperlink" Target="https://drive.google.com/file/d/1_kI52UqjMohw8tQmWTeC2VVF70y3oxLB/view?usp=sharing" TargetMode="External"/><Relationship Id="rId6" Type="http://schemas.openxmlformats.org/officeDocument/2006/relationships/hyperlink" Target="https://drive.google.com/file/d/1wZ5c8zOC25OuYxIUuhY62hsWRGQKognn/view?usp=sharing" TargetMode="External"/><Relationship Id="rId7" Type="http://schemas.openxmlformats.org/officeDocument/2006/relationships/hyperlink" Target="https://drive.google.com/file/d/1N-P09FcD5iKI7y6kzvsYcg_T1Qc2_AZs/view?usp=sharing" TargetMode="External"/><Relationship Id="rId8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WfvtOuwJjlBio641fnQVe8uPGtbUfOcd/view?usp=sharing" TargetMode="External"/><Relationship Id="rId11" Type="http://schemas.openxmlformats.org/officeDocument/2006/relationships/hyperlink" Target="https://drive.google.com/file/d/1bYViHqD6rvxCJq4zsOMgWzAfFMQBQZqA/view?usp=sharing" TargetMode="External"/><Relationship Id="rId22" Type="http://schemas.openxmlformats.org/officeDocument/2006/relationships/drawing" Target="../drawings/drawing5.xml"/><Relationship Id="rId10" Type="http://schemas.openxmlformats.org/officeDocument/2006/relationships/hyperlink" Target="https://drive.google.com/file/d/1M-83dt_KevwdIfT0hy9tnDZyBUTaGF1B/view?usp=sharing" TargetMode="External"/><Relationship Id="rId21" Type="http://schemas.openxmlformats.org/officeDocument/2006/relationships/hyperlink" Target="https://drive.google.com/file/d/1DuGQoT1TgJ4baFCdsTjBo8SkbczaMfdq/view?usp=sharing" TargetMode="External"/><Relationship Id="rId13" Type="http://schemas.openxmlformats.org/officeDocument/2006/relationships/hyperlink" Target="https://drive.google.com/file/d/1c6r_lOBGNgdYgxLg5jTl4y2Nqc0v5r1m/view?usp=sharing" TargetMode="External"/><Relationship Id="rId12" Type="http://schemas.openxmlformats.org/officeDocument/2006/relationships/hyperlink" Target="https://drive.google.com/file/d/1P1Dl9C_zA9oIMcoy6AleztUPxylg0eMU/view?usp=sharing" TargetMode="External"/><Relationship Id="rId1" Type="http://schemas.openxmlformats.org/officeDocument/2006/relationships/hyperlink" Target="https://drive.google.com/file/d/1sC8u8U9Ydc2m98OJyVcIChfbSZUv8epN/view?usp=sharing" TargetMode="External"/><Relationship Id="rId2" Type="http://schemas.openxmlformats.org/officeDocument/2006/relationships/hyperlink" Target="https://drive.google.com/file/d/19U0b62LB8ROHdVkraF5hTPW4ozasmJns/view?usp=sharing" TargetMode="External"/><Relationship Id="rId3" Type="http://schemas.openxmlformats.org/officeDocument/2006/relationships/hyperlink" Target="https://drive.google.com/file/d/1k6oYkmmcBYtiSr080RfLRsaXnnuZr-Vc/view?usp=sharing" TargetMode="External"/><Relationship Id="rId4" Type="http://schemas.openxmlformats.org/officeDocument/2006/relationships/hyperlink" Target="https://drive.google.com/file/d/1H4QurjVBzRl6XsPRpdvj4vHJQvZq03H3/view?usp=sharing" TargetMode="External"/><Relationship Id="rId9" Type="http://schemas.openxmlformats.org/officeDocument/2006/relationships/hyperlink" Target="https://drive.google.com/file/d/1rvhnoGSgwDbm-wzuiTpr_lfnRH-S31-e/view?usp=sharing" TargetMode="External"/><Relationship Id="rId15" Type="http://schemas.openxmlformats.org/officeDocument/2006/relationships/hyperlink" Target="https://drive.google.com/file/d/1cO5VBxu5Bj4jdc-FMDtTFfxMhuHUTBPz/view?usp=sharing" TargetMode="External"/><Relationship Id="rId14" Type="http://schemas.openxmlformats.org/officeDocument/2006/relationships/hyperlink" Target="https://drive.google.com/file/d/1NL6CaLERcUwWDTMqLg03XSx1ZgWY07hR/view?usp=sharing" TargetMode="External"/><Relationship Id="rId17" Type="http://schemas.openxmlformats.org/officeDocument/2006/relationships/hyperlink" Target="https://drive.google.com/file/d/16ynh8SmlLjgWHLHXjYzYc2ult4TJNVPU/view?usp=sharing" TargetMode="External"/><Relationship Id="rId16" Type="http://schemas.openxmlformats.org/officeDocument/2006/relationships/hyperlink" Target="https://drive.google.com/file/d/116XxnBLrWIeDOWcgnl60CrC-o9Ss_dq9/view?usp=sharing" TargetMode="External"/><Relationship Id="rId5" Type="http://schemas.openxmlformats.org/officeDocument/2006/relationships/hyperlink" Target="https://drive.google.com/file/d/15CtU5G-7Oz9zJoTxVmDlLs4De3yEjAbI/view?usp=sharing" TargetMode="External"/><Relationship Id="rId19" Type="http://schemas.openxmlformats.org/officeDocument/2006/relationships/hyperlink" Target="https://drive.google.com/file/d/1EsKOKeKiceTCq-O-vFdFqTj7xfxHmxbG/view?usp=sharing" TargetMode="External"/><Relationship Id="rId6" Type="http://schemas.openxmlformats.org/officeDocument/2006/relationships/hyperlink" Target="https://drive.google.com/file/d/1GqW4_PQXl3WYBs5GEbpEe71zc2fyXXiZ/view?usp=sharing" TargetMode="External"/><Relationship Id="rId18" Type="http://schemas.openxmlformats.org/officeDocument/2006/relationships/hyperlink" Target="https://drive.google.com/file/d/1qbsNWXhr7KTyG8qxHbTfM3bxZvjPN9JJ/view?usp=sharing" TargetMode="External"/><Relationship Id="rId7" Type="http://schemas.openxmlformats.org/officeDocument/2006/relationships/hyperlink" Target="https://drive.google.com/file/d/16QvgJFLYx6rmaVS9O_CQGxeRISesHMxb/view?usp=sharing" TargetMode="External"/><Relationship Id="rId8" Type="http://schemas.openxmlformats.org/officeDocument/2006/relationships/hyperlink" Target="https://drive.google.com/file/d/1VnCemKFiTN3row-mCPpfxC3JhJJyrJ7b/view?usp=sharing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file/d/1GBpkrpNhOIZmX_gJlHrAAIwDxyWt91pW/view?usp=sharing" TargetMode="External"/><Relationship Id="rId2" Type="http://schemas.openxmlformats.org/officeDocument/2006/relationships/hyperlink" Target="https://drive.google.com/file/d/1X1ssfzHuzYdWnQWxZlfYVUDcESeg_pfb/view?usp=sharing" TargetMode="External"/><Relationship Id="rId3" Type="http://schemas.openxmlformats.org/officeDocument/2006/relationships/hyperlink" Target="https://drive.google.com/file/d/1T0OJTOG-X4i9qTbn9sIsDXg8zURy0x1d/view?usp=sharing" TargetMode="External"/><Relationship Id="rId4" Type="http://schemas.openxmlformats.org/officeDocument/2006/relationships/hyperlink" Target="https://drive.google.com/file/d/1V6WijgR_UufQJc0zyknZFwEBcCFRDFOa/view?usp=sharing" TargetMode="External"/><Relationship Id="rId5" Type="http://schemas.openxmlformats.org/officeDocument/2006/relationships/hyperlink" Target="https://drive.google.com/file/d/12gj4B5LwGzZzdx8firMtEBTEif14WnCw/view?usp=sharing" TargetMode="External"/><Relationship Id="rId6" Type="http://schemas.openxmlformats.org/officeDocument/2006/relationships/hyperlink" Target="https://drive.google.com/file/d/1-6f5c0c8mImgfIXMV_BMUT6PMjKkNmID/view?usp=sharing" TargetMode="External"/><Relationship Id="rId7" Type="http://schemas.openxmlformats.org/officeDocument/2006/relationships/hyperlink" Target="https://drive.google.com/file/d/1KuRSbSJoS3PCzShKPKmC3A-6CJAUSdNo/view?usp=sharing" TargetMode="External"/><Relationship Id="rId8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0" Type="http://schemas.openxmlformats.org/officeDocument/2006/relationships/drawing" Target="../drawings/drawing7.xml"/><Relationship Id="rId1" Type="http://schemas.openxmlformats.org/officeDocument/2006/relationships/hyperlink" Target="https://drive.google.com/file/d/1ofSBryDf1VfDPb-F59RiJmK2Pe_pVDKJ/view?usp=sharing" TargetMode="External"/><Relationship Id="rId2" Type="http://schemas.openxmlformats.org/officeDocument/2006/relationships/hyperlink" Target="https://drive.google.com/file/d/1gXUnbVnEDLmzYIrJdJozp9-KtJLf5kli/view?usp=sharing" TargetMode="External"/><Relationship Id="rId3" Type="http://schemas.openxmlformats.org/officeDocument/2006/relationships/hyperlink" Target="https://drive.google.com/file/d/1ZColJv7Gnk1_j-dG6hJfQ8wW8qTkf37l/view?usp=sharing" TargetMode="External"/><Relationship Id="rId4" Type="http://schemas.openxmlformats.org/officeDocument/2006/relationships/hyperlink" Target="https://drive.google.com/file/d/1YVT3u1CGVbHb3OKQkNXsvhsV7_T8UYCm/view?usp=sharing" TargetMode="External"/><Relationship Id="rId9" Type="http://schemas.openxmlformats.org/officeDocument/2006/relationships/hyperlink" Target="https://drive.google.com/file/d/171w6dr8M8lmW9qbmnGvshRHegI0knQ9A/view?usp=sharing" TargetMode="External"/><Relationship Id="rId5" Type="http://schemas.openxmlformats.org/officeDocument/2006/relationships/hyperlink" Target="https://drive.google.com/file/d/1N2WZErurq3eeepMeKtUxybIm76VXrqgL/view?usp=sharing" TargetMode="External"/><Relationship Id="rId6" Type="http://schemas.openxmlformats.org/officeDocument/2006/relationships/hyperlink" Target="https://drive.google.com/file/d/1KQcy8ae7EOEiRv3eiYptZMNquAQnNicr/view?usp=sharing" TargetMode="External"/><Relationship Id="rId7" Type="http://schemas.openxmlformats.org/officeDocument/2006/relationships/hyperlink" Target="https://drive.google.com/file/d/1uWeZgGc2ujbk1h9TgkwURkfjEl895ksh/view?usp=sharing" TargetMode="External"/><Relationship Id="rId8" Type="http://schemas.openxmlformats.org/officeDocument/2006/relationships/hyperlink" Target="https://drive.google.com/file/d/1BuFg9Bfl4yFfmxff_WlIQFyBSEkU6z0U/view?usp=sharing" TargetMode="Externa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file/d/1CP-83EXbXkyCaC9pBvvB_xHUlWIwirsl/view?usp=sharing" TargetMode="External"/><Relationship Id="rId22" Type="http://schemas.openxmlformats.org/officeDocument/2006/relationships/hyperlink" Target="https://drive.google.com/file/d/1RoLtQC7s4cnejDN8YhNaKAYW6pHW7gFZ/view?usp=sharing" TargetMode="External"/><Relationship Id="rId21" Type="http://schemas.openxmlformats.org/officeDocument/2006/relationships/hyperlink" Target="https://drive.google.com/file/d/1FJOHMpvGczGG5Esa3qUmRmi4nWyD6rsk/view?usp=sharing" TargetMode="External"/><Relationship Id="rId24" Type="http://schemas.openxmlformats.org/officeDocument/2006/relationships/hyperlink" Target="https://drive.google.com/file/d/1ekMAXgp9q4m251S6LmkBgKzER2gawMEg/view?usp=sharing" TargetMode="External"/><Relationship Id="rId23" Type="http://schemas.openxmlformats.org/officeDocument/2006/relationships/hyperlink" Target="https://drive.google.com/file/d/1nN38zhZyclp92hWMma4fxy9XOUKi91R0/view?usp=sharing" TargetMode="External"/><Relationship Id="rId1" Type="http://schemas.openxmlformats.org/officeDocument/2006/relationships/hyperlink" Target="https://drive.google.com/file/d/14mQfuA_PQA3rGA9z5SOFLPYhmLlCqow2/view?usp=sharing" TargetMode="External"/><Relationship Id="rId2" Type="http://schemas.openxmlformats.org/officeDocument/2006/relationships/hyperlink" Target="https://drive.google.com/file/d/1t_4tFPJ2lWLzdL8VNyIu-AkbiS5NtzZb/view?usp=sharing" TargetMode="External"/><Relationship Id="rId3" Type="http://schemas.openxmlformats.org/officeDocument/2006/relationships/hyperlink" Target="https://drive.google.com/file/d/1NGvz3UoZb4IQ_8_4LXgAJZm7n6b7ca1n/view?usp=sharing" TargetMode="External"/><Relationship Id="rId4" Type="http://schemas.openxmlformats.org/officeDocument/2006/relationships/hyperlink" Target="https://drive.google.com/file/d/1z3h8pLQEaPFYSsFl6g0hZwmUmnBLWjqj/view?usp=drive_link" TargetMode="External"/><Relationship Id="rId9" Type="http://schemas.openxmlformats.org/officeDocument/2006/relationships/hyperlink" Target="https://drive.google.com/file/d/1Ot3YmPWMdo6t77EgfLH_MM01Ltl-jyLE/view?usp=sharing" TargetMode="External"/><Relationship Id="rId26" Type="http://schemas.openxmlformats.org/officeDocument/2006/relationships/drawing" Target="../drawings/drawing8.xml"/><Relationship Id="rId25" Type="http://schemas.openxmlformats.org/officeDocument/2006/relationships/hyperlink" Target="https://drive.google.com/file/d/1mRQGzsvBAV8As4shaVJzvktwXQwC-UBA/view?usp=sharing" TargetMode="External"/><Relationship Id="rId5" Type="http://schemas.openxmlformats.org/officeDocument/2006/relationships/hyperlink" Target="https://drive.google.com/file/d/1nEMob1VPIABjK11MELkQARlbqD7L8TOy/view?usp=sharing" TargetMode="External"/><Relationship Id="rId6" Type="http://schemas.openxmlformats.org/officeDocument/2006/relationships/hyperlink" Target="https://drive.google.com/file/d/1Mp7kXHdBuVcDYNTUP_efukF7QRwFFtsg/view?usp=sharing" TargetMode="External"/><Relationship Id="rId7" Type="http://schemas.openxmlformats.org/officeDocument/2006/relationships/hyperlink" Target="https://drive.google.com/file/d/1iUUDYF4uHljVqcONL4mx8-IxjB9APCFO/view?usp=sharing" TargetMode="External"/><Relationship Id="rId8" Type="http://schemas.openxmlformats.org/officeDocument/2006/relationships/hyperlink" Target="https://drive.google.com/file/d/1TdlVK4Yn37goShtw-uanFpiK9i6yQV0c/view?usp=sharing" TargetMode="External"/><Relationship Id="rId11" Type="http://schemas.openxmlformats.org/officeDocument/2006/relationships/hyperlink" Target="https://drive.google.com/file/d/15af7h1qarnP0mCvotgZ0h1t_uBUF0Ji4/view?usp=sharing" TargetMode="External"/><Relationship Id="rId10" Type="http://schemas.openxmlformats.org/officeDocument/2006/relationships/hyperlink" Target="https://drive.google.com/file/d/1gjmFKnp_-xCCfjgh-ooeFVS3IVt9CZHv/view?usp=sharing" TargetMode="External"/><Relationship Id="rId13" Type="http://schemas.openxmlformats.org/officeDocument/2006/relationships/hyperlink" Target="https://drive.google.com/file/d/1xFd7GG51PDvvn9VxwKuIwE9jd1Vto0tc/view?usp=sharing" TargetMode="External"/><Relationship Id="rId12" Type="http://schemas.openxmlformats.org/officeDocument/2006/relationships/hyperlink" Target="https://drive.google.com/file/d/1S90j5ofkzXFHbEmhdMwLkGR3HElwQ6p3/view?usp=sharing" TargetMode="External"/><Relationship Id="rId15" Type="http://schemas.openxmlformats.org/officeDocument/2006/relationships/hyperlink" Target="https://drive.google.com/file/d/1KD4UnMTXRmw_HUIWb24N084jTGAb5ifL/view?usp=sharing" TargetMode="External"/><Relationship Id="rId14" Type="http://schemas.openxmlformats.org/officeDocument/2006/relationships/hyperlink" Target="https://drive.google.com/file/d/1xwznydImAckV_aLI_CRlk5KUjI_Xmqev/view?usp=sharing" TargetMode="External"/><Relationship Id="rId17" Type="http://schemas.openxmlformats.org/officeDocument/2006/relationships/hyperlink" Target="https://drive.google.com/file/d/1dieO8uN3M-iFSOmhqMXXtbuTgHbL3ulP/view?usp=sharing" TargetMode="External"/><Relationship Id="rId16" Type="http://schemas.openxmlformats.org/officeDocument/2006/relationships/hyperlink" Target="https://drive.google.com/file/d/1XPtwxeSBYs01oBAMZUnjIm5XckUSlS0R/view?usp=sharing" TargetMode="External"/><Relationship Id="rId19" Type="http://schemas.openxmlformats.org/officeDocument/2006/relationships/hyperlink" Target="https://drive.google.com/file/d/1SVJJTc_nBtYDaGxtGIt04U_rY_ag6p2j/view?usp=sharing" TargetMode="External"/><Relationship Id="rId18" Type="http://schemas.openxmlformats.org/officeDocument/2006/relationships/hyperlink" Target="https://drive.google.com/file/d/1St0Go3aTk8K8RIpQYVUHLk5XvstnA6DU/view?usp=sharing" TargetMode="External"/></Relationships>
</file>

<file path=xl/worksheets/_rels/sheet9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9.xml"/><Relationship Id="rId1" Type="http://schemas.openxmlformats.org/officeDocument/2006/relationships/hyperlink" Target="https://drive.google.com/file/d/1qUuSd03jcu2kGNszZjSlqWOgWS46ejSN/view?usp=sharing" TargetMode="External"/><Relationship Id="rId2" Type="http://schemas.openxmlformats.org/officeDocument/2006/relationships/hyperlink" Target="https://drive.google.com/file/d/1cOiFup-UwDhzaYM1asDxChiRbPG7N6Hs/view?usp=sharing" TargetMode="External"/><Relationship Id="rId3" Type="http://schemas.openxmlformats.org/officeDocument/2006/relationships/hyperlink" Target="https://drive.google.com/file/d/1hth-I6WS67IAah3JWX0riu7oiZQIbxAK/view?usp=sharing" TargetMode="External"/><Relationship Id="rId4" Type="http://schemas.openxmlformats.org/officeDocument/2006/relationships/hyperlink" Target="https://drive.google.com/file/d/1M0__aFTg0J1z7Vz3q963_dMtZ2Ed4EYQ/view?usp=sharing" TargetMode="External"/><Relationship Id="rId9" Type="http://schemas.openxmlformats.org/officeDocument/2006/relationships/hyperlink" Target="https://drive.google.com/file/d/1yc-MK5ld3kZUASurKMOz11YkVojRYnbd/view?usp=sharing" TargetMode="External"/><Relationship Id="rId5" Type="http://schemas.openxmlformats.org/officeDocument/2006/relationships/hyperlink" Target="https://drive.google.com/file/d/1Q47UWd-DxKd9bGvmGvXF4ZcKWEpML9sx/view?usp=sharing" TargetMode="External"/><Relationship Id="rId6" Type="http://schemas.openxmlformats.org/officeDocument/2006/relationships/hyperlink" Target="https://drive.google.com/file/d/1uuLGcnXe-4yXKADda_B9-9LTGJ-2WFrQ/view?usp=sharing" TargetMode="External"/><Relationship Id="rId7" Type="http://schemas.openxmlformats.org/officeDocument/2006/relationships/hyperlink" Target="https://drive.google.com/file/d/1GwLPHC0FZnqFCWwg4NeuE3zsvJ01S-SQ/view?usp=sharing" TargetMode="External"/><Relationship Id="rId8" Type="http://schemas.openxmlformats.org/officeDocument/2006/relationships/hyperlink" Target="https://drive.google.com/file/d/1CZoHp58pgSLkq871YD5HzTN8SqxgnTZy/view?usp=sharing" TargetMode="External"/><Relationship Id="rId11" Type="http://schemas.openxmlformats.org/officeDocument/2006/relationships/hyperlink" Target="https://drive.google.com/file/d/1162cAZgkaGjZk1A7y9b8oTI5DiPbvr74/view?usp=sharing" TargetMode="External"/><Relationship Id="rId10" Type="http://schemas.openxmlformats.org/officeDocument/2006/relationships/hyperlink" Target="https://drive.google.com/file/d/1kD2EFgpevIdMGweMZYL8ygirZIq7Hi1B/view?usp=sharing" TargetMode="External"/><Relationship Id="rId13" Type="http://schemas.openxmlformats.org/officeDocument/2006/relationships/hyperlink" Target="https://drive.google.com/file/d/1yCsdenxU4xeCGABHRORcsz6yjOYoAqiS/view?usp=sharing" TargetMode="External"/><Relationship Id="rId12" Type="http://schemas.openxmlformats.org/officeDocument/2006/relationships/hyperlink" Target="https://drive.google.com/file/d/1gAkY-yA4gfmOaW0Z90VXR_AF0PMTwwuB/view?usp=sharing" TargetMode="External"/><Relationship Id="rId15" Type="http://schemas.openxmlformats.org/officeDocument/2006/relationships/hyperlink" Target="https://drive.google.com/file/d/1QC-kFUQOU162HesBGN9GuURPI_jzEKc9/view?usp=sharing" TargetMode="External"/><Relationship Id="rId14" Type="http://schemas.openxmlformats.org/officeDocument/2006/relationships/hyperlink" Target="https://drive.google.com/file/d/1kc2uclhuGrAQs_JIHy0YPShu8Tyq-298/view?usp=sharing" TargetMode="External"/><Relationship Id="rId17" Type="http://schemas.openxmlformats.org/officeDocument/2006/relationships/hyperlink" Target="https://drive.google.com/file/d/1Z6qrypGyiOjb09QkVW1Q34-r9D3nU_NK/view?usp=sharing" TargetMode="External"/><Relationship Id="rId16" Type="http://schemas.openxmlformats.org/officeDocument/2006/relationships/hyperlink" Target="https://drive.google.com/file/d/1HNL6dHnBdUS9pWGfWB0UlEiIaqp9AATt/view?usp=sharing" TargetMode="External"/><Relationship Id="rId19" Type="http://schemas.openxmlformats.org/officeDocument/2006/relationships/hyperlink" Target="https://drive.google.com/file/d/1D2khYVm_R8bbm_3qYDVpI9XF7iZkZQen/view?usp=sharing" TargetMode="External"/><Relationship Id="rId18" Type="http://schemas.openxmlformats.org/officeDocument/2006/relationships/hyperlink" Target="https://drive.google.com/file/d/1xRSd3MFlZANDvsSUIYeola7KxIoksbne/view?usp=sharing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5"/>
    <col customWidth="1" min="4" max="4" width="21.0"/>
    <col customWidth="1" min="5" max="5" width="57.88"/>
    <col customWidth="1" min="6" max="6" width="18.38"/>
    <col customWidth="1" min="7" max="7" width="23.5"/>
    <col customWidth="1" min="8" max="8" width="63.63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2"/>
      <c r="B2" s="3" t="s">
        <v>0</v>
      </c>
      <c r="C2" s="2"/>
      <c r="D2" s="2"/>
      <c r="E2" s="2"/>
      <c r="F2" s="2"/>
      <c r="G2" s="2"/>
      <c r="H2" s="1"/>
    </row>
    <row r="3">
      <c r="A3" s="2"/>
      <c r="B3" s="4" t="s">
        <v>1</v>
      </c>
      <c r="C3" s="5">
        <v>46174.0</v>
      </c>
      <c r="D3" s="6"/>
      <c r="E3" s="2"/>
      <c r="F3" s="2"/>
      <c r="G3" s="2"/>
      <c r="H3" s="1"/>
    </row>
    <row r="4">
      <c r="A4" s="2"/>
      <c r="B4" s="4" t="s">
        <v>2</v>
      </c>
      <c r="C4" s="7">
        <v>46109.0</v>
      </c>
      <c r="D4" s="8"/>
      <c r="E4" s="2"/>
      <c r="F4" s="2"/>
      <c r="G4" s="2"/>
      <c r="H4" s="1"/>
    </row>
    <row r="5">
      <c r="A5" s="2"/>
      <c r="B5" s="9"/>
      <c r="C5" s="6"/>
      <c r="D5" s="6"/>
      <c r="E5" s="2"/>
      <c r="F5" s="2"/>
      <c r="G5" s="2"/>
      <c r="H5" s="1"/>
    </row>
    <row r="6">
      <c r="A6" s="2"/>
      <c r="B6" s="4" t="s">
        <v>3</v>
      </c>
      <c r="C6" s="10" t="s">
        <v>4</v>
      </c>
      <c r="D6" s="11"/>
      <c r="E6" s="12"/>
      <c r="F6" s="2"/>
      <c r="G6" s="2"/>
      <c r="H6" s="1"/>
    </row>
    <row r="7">
      <c r="A7" s="2"/>
      <c r="B7" s="4" t="s">
        <v>5</v>
      </c>
      <c r="C7" s="10" t="s">
        <v>6</v>
      </c>
      <c r="D7" s="11"/>
      <c r="E7" s="12"/>
      <c r="F7" s="2"/>
      <c r="G7" s="2"/>
      <c r="H7" s="1"/>
    </row>
    <row r="8">
      <c r="A8" s="2"/>
      <c r="B8" s="9"/>
      <c r="C8" s="2"/>
      <c r="D8" s="2"/>
      <c r="E8" s="2"/>
      <c r="F8" s="2"/>
      <c r="G8" s="2"/>
      <c r="H8" s="1"/>
    </row>
    <row r="9">
      <c r="A9" s="2"/>
      <c r="B9" s="13"/>
      <c r="C9" s="13"/>
      <c r="D9" s="13"/>
      <c r="E9" s="13"/>
      <c r="F9" s="2"/>
      <c r="G9" s="2"/>
      <c r="H9" s="1"/>
    </row>
    <row r="10">
      <c r="A10" s="1"/>
      <c r="B10" s="14" t="s">
        <v>7</v>
      </c>
      <c r="C10" s="1"/>
      <c r="D10" s="1"/>
      <c r="E10" s="1"/>
      <c r="F10" s="1"/>
      <c r="G10" s="1"/>
      <c r="H10" s="1"/>
    </row>
    <row r="11">
      <c r="A11" s="15"/>
      <c r="B11" s="16" t="s">
        <v>8</v>
      </c>
      <c r="C11" s="16" t="s">
        <v>9</v>
      </c>
      <c r="D11" s="16" t="s">
        <v>10</v>
      </c>
      <c r="E11" s="16" t="s">
        <v>11</v>
      </c>
      <c r="F11" s="16" t="s">
        <v>12</v>
      </c>
      <c r="G11" s="17" t="s">
        <v>13</v>
      </c>
      <c r="H11" s="16" t="s">
        <v>14</v>
      </c>
    </row>
    <row r="12">
      <c r="A12" s="15"/>
      <c r="B12" s="18">
        <v>46109.0</v>
      </c>
      <c r="C12" s="19" t="s">
        <v>15</v>
      </c>
      <c r="D12" s="19" t="s">
        <v>16</v>
      </c>
      <c r="E12" s="20" t="s">
        <v>17</v>
      </c>
      <c r="F12" s="19" t="s">
        <v>18</v>
      </c>
      <c r="G12" s="21" t="s">
        <v>19</v>
      </c>
      <c r="H12" s="22" t="s">
        <v>20</v>
      </c>
    </row>
    <row r="13">
      <c r="A13" s="15"/>
      <c r="B13" s="23">
        <v>46116.0</v>
      </c>
      <c r="C13" s="19" t="s">
        <v>21</v>
      </c>
      <c r="D13" s="19" t="s">
        <v>22</v>
      </c>
      <c r="E13" s="20" t="s">
        <v>23</v>
      </c>
      <c r="F13" s="19" t="s">
        <v>18</v>
      </c>
      <c r="G13" s="21" t="s">
        <v>19</v>
      </c>
      <c r="H13" s="22" t="s">
        <v>24</v>
      </c>
    </row>
    <row r="14">
      <c r="A14" s="15"/>
      <c r="B14" s="23">
        <v>46121.0</v>
      </c>
      <c r="C14" s="19" t="s">
        <v>25</v>
      </c>
      <c r="D14" s="24" t="s">
        <v>26</v>
      </c>
      <c r="E14" s="20" t="s">
        <v>27</v>
      </c>
      <c r="F14" s="19" t="s">
        <v>18</v>
      </c>
      <c r="G14" s="21" t="s">
        <v>19</v>
      </c>
      <c r="H14" s="22" t="s">
        <v>28</v>
      </c>
    </row>
    <row r="15">
      <c r="A15" s="15"/>
      <c r="B15" s="23">
        <v>46134.0</v>
      </c>
      <c r="C15" s="19" t="s">
        <v>29</v>
      </c>
      <c r="D15" s="19" t="s">
        <v>30</v>
      </c>
      <c r="E15" s="20" t="s">
        <v>31</v>
      </c>
      <c r="F15" s="19" t="s">
        <v>18</v>
      </c>
      <c r="G15" s="21" t="s">
        <v>19</v>
      </c>
      <c r="H15" s="22" t="s">
        <v>32</v>
      </c>
    </row>
    <row r="16">
      <c r="A16" s="25"/>
      <c r="B16" s="18">
        <v>46136.0</v>
      </c>
      <c r="C16" s="19" t="s">
        <v>33</v>
      </c>
      <c r="D16" s="19" t="s">
        <v>34</v>
      </c>
      <c r="E16" s="20" t="s">
        <v>35</v>
      </c>
      <c r="F16" s="19" t="s">
        <v>18</v>
      </c>
      <c r="G16" s="21" t="s">
        <v>19</v>
      </c>
      <c r="H16" s="22" t="s">
        <v>36</v>
      </c>
    </row>
    <row r="17">
      <c r="A17" s="25"/>
      <c r="B17" s="18">
        <v>46151.0</v>
      </c>
      <c r="C17" s="19" t="s">
        <v>37</v>
      </c>
      <c r="D17" s="19" t="s">
        <v>38</v>
      </c>
      <c r="E17" s="26" t="s">
        <v>39</v>
      </c>
      <c r="F17" s="19" t="s">
        <v>18</v>
      </c>
      <c r="G17" s="21" t="s">
        <v>19</v>
      </c>
      <c r="H17" s="22" t="s">
        <v>32</v>
      </c>
    </row>
    <row r="18">
      <c r="A18" s="15"/>
      <c r="B18" s="18">
        <v>46152.0</v>
      </c>
      <c r="C18" s="27">
        <v>46174.0</v>
      </c>
      <c r="D18" s="19" t="s">
        <v>40</v>
      </c>
      <c r="E18" s="26" t="s">
        <v>41</v>
      </c>
      <c r="F18" s="19" t="s">
        <v>18</v>
      </c>
      <c r="G18" s="26" t="s">
        <v>19</v>
      </c>
      <c r="H18" s="26" t="s">
        <v>42</v>
      </c>
    </row>
  </sheetData>
  <mergeCells count="2">
    <mergeCell ref="C6:E6"/>
    <mergeCell ref="C7:E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25"/>
    <col customWidth="1" min="2" max="2" width="29.13"/>
    <col customWidth="1" min="3" max="3" width="84.88"/>
    <col customWidth="1" min="6" max="6" width="33.0"/>
    <col customWidth="1" min="7" max="7" width="32.5"/>
    <col customWidth="1" min="10" max="10" width="45.13"/>
    <col customWidth="1" min="11" max="11" width="13.63"/>
    <col customWidth="1" min="12" max="12" width="21.25"/>
  </cols>
  <sheetData>
    <row r="1">
      <c r="A1" s="28" t="s">
        <v>0</v>
      </c>
      <c r="B1" s="29"/>
      <c r="E1" s="30"/>
      <c r="F1" s="30"/>
      <c r="G1" s="30"/>
      <c r="H1" s="30"/>
      <c r="I1" s="6"/>
      <c r="J1" s="30"/>
    </row>
    <row r="2">
      <c r="A2" s="30"/>
      <c r="B2" s="31"/>
      <c r="C2" s="31"/>
      <c r="D2" s="31"/>
      <c r="E2" s="30"/>
      <c r="F2" s="30"/>
      <c r="G2" s="30"/>
      <c r="H2" s="30"/>
      <c r="I2" s="6"/>
      <c r="J2" s="30"/>
    </row>
    <row r="3">
      <c r="A3" s="32" t="s">
        <v>43</v>
      </c>
      <c r="B3" s="33" t="s">
        <v>4</v>
      </c>
      <c r="C3" s="11"/>
      <c r="D3" s="12"/>
      <c r="E3" s="34"/>
      <c r="F3" s="34"/>
      <c r="G3" s="34"/>
      <c r="H3" s="35"/>
      <c r="I3" s="36"/>
      <c r="J3" s="36"/>
    </row>
    <row r="4">
      <c r="A4" s="37" t="s">
        <v>44</v>
      </c>
      <c r="B4" s="38" t="s">
        <v>45</v>
      </c>
      <c r="C4" s="11"/>
      <c r="D4" s="12"/>
      <c r="E4" s="34"/>
      <c r="F4" s="34"/>
      <c r="G4" s="34"/>
      <c r="H4" s="35"/>
      <c r="I4" s="36"/>
      <c r="J4" s="36"/>
    </row>
    <row r="5">
      <c r="A5" s="37" t="s">
        <v>46</v>
      </c>
      <c r="B5" s="33" t="s">
        <v>47</v>
      </c>
      <c r="C5" s="11"/>
      <c r="D5" s="12"/>
      <c r="E5" s="34"/>
      <c r="F5" s="34"/>
      <c r="G5" s="34"/>
      <c r="H5" s="35"/>
      <c r="I5" s="36"/>
      <c r="J5" s="36"/>
    </row>
    <row r="6">
      <c r="A6" s="39" t="s">
        <v>48</v>
      </c>
      <c r="B6" s="39">
        <v>11.0</v>
      </c>
      <c r="C6" s="40" t="s">
        <v>49</v>
      </c>
      <c r="D6" s="40">
        <v>0.0</v>
      </c>
      <c r="E6" s="35"/>
      <c r="F6" s="35"/>
      <c r="G6" s="35"/>
      <c r="H6" s="35"/>
      <c r="I6" s="36"/>
      <c r="J6" s="36"/>
    </row>
    <row r="7">
      <c r="A7" s="39" t="s">
        <v>50</v>
      </c>
      <c r="B7" s="39">
        <v>0.0</v>
      </c>
      <c r="C7" s="41" t="s">
        <v>51</v>
      </c>
      <c r="D7" s="40">
        <v>11.0</v>
      </c>
      <c r="E7" s="35"/>
      <c r="F7" s="35"/>
      <c r="G7" s="35"/>
      <c r="H7" s="35"/>
      <c r="I7" s="36"/>
      <c r="J7" s="36"/>
    </row>
    <row r="8">
      <c r="A8" s="42"/>
      <c r="B8" s="43"/>
      <c r="C8" s="43"/>
      <c r="D8" s="43"/>
      <c r="E8" s="35"/>
      <c r="F8" s="35"/>
      <c r="G8" s="35"/>
      <c r="H8" s="35"/>
      <c r="I8" s="44"/>
      <c r="J8" s="44"/>
    </row>
    <row r="9">
      <c r="A9" s="45" t="s">
        <v>52</v>
      </c>
      <c r="B9" s="46" t="s">
        <v>53</v>
      </c>
      <c r="C9" s="45" t="s">
        <v>54</v>
      </c>
      <c r="D9" s="47" t="s">
        <v>55</v>
      </c>
      <c r="G9" s="45" t="s">
        <v>56</v>
      </c>
      <c r="H9" s="48" t="s">
        <v>57</v>
      </c>
      <c r="I9" s="48" t="s">
        <v>58</v>
      </c>
      <c r="J9" s="48" t="s">
        <v>59</v>
      </c>
      <c r="K9" s="48" t="s">
        <v>60</v>
      </c>
      <c r="L9" s="48" t="s">
        <v>61</v>
      </c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  <c r="K10" s="49"/>
      <c r="L10" s="49"/>
    </row>
    <row r="11">
      <c r="A11" s="51"/>
      <c r="B11" s="43"/>
      <c r="C11" s="43"/>
      <c r="D11" s="43"/>
      <c r="E11" s="43"/>
      <c r="F11" s="43"/>
      <c r="G11" s="11"/>
      <c r="H11" s="11"/>
      <c r="I11" s="11"/>
      <c r="J11" s="11"/>
      <c r="K11" s="11"/>
      <c r="L11" s="11"/>
    </row>
    <row r="12">
      <c r="A12" s="52" t="s">
        <v>62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2"/>
    </row>
    <row r="13">
      <c r="A13" s="53" t="s">
        <v>63</v>
      </c>
      <c r="B13" s="54" t="s">
        <v>64</v>
      </c>
      <c r="C13" s="54" t="s">
        <v>65</v>
      </c>
      <c r="D13" s="55" t="s">
        <v>66</v>
      </c>
      <c r="E13" s="43"/>
      <c r="F13" s="43"/>
      <c r="G13" s="56" t="s">
        <v>67</v>
      </c>
      <c r="H13" s="57">
        <v>46109.0</v>
      </c>
      <c r="I13" s="53" t="s">
        <v>48</v>
      </c>
      <c r="J13" s="54" t="s">
        <v>68</v>
      </c>
      <c r="L13" s="54"/>
    </row>
    <row r="14">
      <c r="A14" s="52" t="s">
        <v>69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2"/>
    </row>
    <row r="15">
      <c r="A15" s="53" t="s">
        <v>70</v>
      </c>
      <c r="B15" s="54" t="s">
        <v>71</v>
      </c>
      <c r="C15" s="58" t="s">
        <v>72</v>
      </c>
      <c r="D15" s="55" t="s">
        <v>73</v>
      </c>
      <c r="E15" s="43"/>
      <c r="F15" s="43"/>
      <c r="G15" s="59" t="s">
        <v>74</v>
      </c>
      <c r="H15" s="57">
        <v>46109.0</v>
      </c>
      <c r="I15" s="53" t="s">
        <v>50</v>
      </c>
      <c r="J15" s="58" t="s">
        <v>75</v>
      </c>
      <c r="K15" s="58" t="s">
        <v>48</v>
      </c>
      <c r="L15" s="60" t="s">
        <v>76</v>
      </c>
    </row>
    <row r="16">
      <c r="A16" s="53" t="s">
        <v>77</v>
      </c>
      <c r="B16" s="54" t="s">
        <v>78</v>
      </c>
      <c r="C16" s="54" t="s">
        <v>79</v>
      </c>
      <c r="D16" s="55" t="s">
        <v>80</v>
      </c>
      <c r="E16" s="43"/>
      <c r="F16" s="43"/>
      <c r="G16" s="59" t="s">
        <v>81</v>
      </c>
      <c r="H16" s="57">
        <v>46109.0</v>
      </c>
      <c r="I16" s="53" t="s">
        <v>48</v>
      </c>
      <c r="J16" s="54" t="s">
        <v>82</v>
      </c>
      <c r="K16" s="54"/>
      <c r="L16" s="54"/>
    </row>
    <row r="17">
      <c r="A17" s="53" t="s">
        <v>83</v>
      </c>
      <c r="B17" s="54" t="s">
        <v>84</v>
      </c>
      <c r="C17" s="58" t="s">
        <v>85</v>
      </c>
      <c r="D17" s="55" t="s">
        <v>86</v>
      </c>
      <c r="E17" s="43"/>
      <c r="F17" s="43"/>
      <c r="G17" s="59" t="s">
        <v>87</v>
      </c>
      <c r="H17" s="57">
        <v>46109.0</v>
      </c>
      <c r="I17" s="53" t="s">
        <v>50</v>
      </c>
      <c r="J17" s="58" t="s">
        <v>88</v>
      </c>
      <c r="K17" s="58" t="s">
        <v>48</v>
      </c>
      <c r="L17" s="60" t="s">
        <v>76</v>
      </c>
    </row>
    <row r="18">
      <c r="A18" s="53" t="s">
        <v>89</v>
      </c>
      <c r="B18" s="54" t="s">
        <v>90</v>
      </c>
      <c r="C18" s="58" t="s">
        <v>91</v>
      </c>
      <c r="D18" s="55" t="s">
        <v>92</v>
      </c>
      <c r="E18" s="43"/>
      <c r="F18" s="43"/>
      <c r="G18" s="59" t="s">
        <v>93</v>
      </c>
      <c r="H18" s="57">
        <v>46109.0</v>
      </c>
      <c r="I18" s="53" t="s">
        <v>50</v>
      </c>
      <c r="J18" s="58" t="s">
        <v>94</v>
      </c>
      <c r="K18" s="58" t="s">
        <v>48</v>
      </c>
      <c r="L18" s="60" t="s">
        <v>76</v>
      </c>
    </row>
    <row r="19">
      <c r="A19" s="53" t="s">
        <v>95</v>
      </c>
      <c r="B19" s="54" t="s">
        <v>96</v>
      </c>
      <c r="C19" s="54" t="s">
        <v>97</v>
      </c>
      <c r="D19" s="55" t="s">
        <v>98</v>
      </c>
      <c r="E19" s="43"/>
      <c r="F19" s="43"/>
      <c r="G19" s="59" t="s">
        <v>99</v>
      </c>
      <c r="H19" s="57">
        <v>46109.0</v>
      </c>
      <c r="I19" s="53" t="s">
        <v>48</v>
      </c>
      <c r="J19" s="54" t="s">
        <v>100</v>
      </c>
      <c r="K19" s="54"/>
      <c r="L19" s="54"/>
    </row>
    <row r="20">
      <c r="A20" s="52" t="s">
        <v>101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2"/>
    </row>
    <row r="21">
      <c r="A21" s="53" t="s">
        <v>102</v>
      </c>
      <c r="B21" s="54" t="s">
        <v>103</v>
      </c>
      <c r="C21" s="54" t="s">
        <v>104</v>
      </c>
      <c r="D21" s="55" t="s">
        <v>105</v>
      </c>
      <c r="E21" s="43"/>
      <c r="F21" s="43"/>
      <c r="G21" s="59" t="s">
        <v>106</v>
      </c>
      <c r="H21" s="57">
        <v>46109.0</v>
      </c>
      <c r="I21" s="53" t="s">
        <v>48</v>
      </c>
      <c r="J21" s="54" t="s">
        <v>107</v>
      </c>
      <c r="K21" s="54"/>
      <c r="L21" s="54"/>
    </row>
    <row r="22">
      <c r="A22" s="53" t="s">
        <v>108</v>
      </c>
      <c r="B22" s="58" t="s">
        <v>109</v>
      </c>
      <c r="C22" s="58" t="s">
        <v>110</v>
      </c>
      <c r="D22" s="55" t="s">
        <v>111</v>
      </c>
      <c r="E22" s="43"/>
      <c r="F22" s="43"/>
      <c r="G22" s="59" t="s">
        <v>112</v>
      </c>
      <c r="H22" s="57">
        <v>46109.0</v>
      </c>
      <c r="I22" s="53" t="s">
        <v>48</v>
      </c>
      <c r="J22" s="54" t="s">
        <v>113</v>
      </c>
      <c r="K22" s="54"/>
      <c r="L22" s="54"/>
    </row>
    <row r="23">
      <c r="A23" s="53" t="s">
        <v>114</v>
      </c>
      <c r="B23" s="54" t="s">
        <v>115</v>
      </c>
      <c r="C23" s="54" t="s">
        <v>116</v>
      </c>
      <c r="D23" s="55" t="s">
        <v>117</v>
      </c>
      <c r="E23" s="43"/>
      <c r="F23" s="43"/>
      <c r="G23" s="59" t="s">
        <v>118</v>
      </c>
      <c r="H23" s="57">
        <v>46109.0</v>
      </c>
      <c r="I23" s="53" t="s">
        <v>48</v>
      </c>
      <c r="J23" s="54" t="s">
        <v>119</v>
      </c>
      <c r="K23" s="54"/>
      <c r="L23" s="54"/>
    </row>
    <row r="24">
      <c r="A24" s="53" t="s">
        <v>120</v>
      </c>
      <c r="B24" s="54" t="s">
        <v>121</v>
      </c>
      <c r="C24" s="54" t="s">
        <v>122</v>
      </c>
      <c r="D24" s="61" t="s">
        <v>123</v>
      </c>
      <c r="E24" s="62"/>
      <c r="F24" s="62"/>
      <c r="G24" s="63" t="s">
        <v>124</v>
      </c>
      <c r="H24" s="57">
        <v>46109.0</v>
      </c>
      <c r="I24" s="54" t="s">
        <v>48</v>
      </c>
      <c r="J24" s="54" t="s">
        <v>125</v>
      </c>
      <c r="K24" s="54"/>
      <c r="L24" s="54"/>
    </row>
    <row r="25">
      <c r="A25" s="52" t="s">
        <v>126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2"/>
    </row>
    <row r="26">
      <c r="A26" s="53" t="s">
        <v>127</v>
      </c>
      <c r="B26" s="54" t="s">
        <v>128</v>
      </c>
      <c r="C26" s="54" t="s">
        <v>129</v>
      </c>
      <c r="D26" s="55" t="s">
        <v>130</v>
      </c>
      <c r="E26" s="43"/>
      <c r="F26" s="43"/>
      <c r="G26" s="59" t="s">
        <v>131</v>
      </c>
      <c r="H26" s="57">
        <v>46109.0</v>
      </c>
      <c r="I26" s="53" t="s">
        <v>48</v>
      </c>
      <c r="J26" s="54" t="s">
        <v>132</v>
      </c>
      <c r="K26" s="54"/>
      <c r="L26" s="54"/>
    </row>
    <row r="39">
      <c r="F39" s="64"/>
    </row>
  </sheetData>
  <mergeCells count="19">
    <mergeCell ref="B1:D2"/>
    <mergeCell ref="B3:D3"/>
    <mergeCell ref="B4:D4"/>
    <mergeCell ref="B5:D5"/>
    <mergeCell ref="A9:A10"/>
    <mergeCell ref="B9:B10"/>
    <mergeCell ref="C9:C10"/>
    <mergeCell ref="F11:L11"/>
    <mergeCell ref="A12:L12"/>
    <mergeCell ref="A14:L14"/>
    <mergeCell ref="A20:L20"/>
    <mergeCell ref="A25:L25"/>
    <mergeCell ref="D9:F10"/>
    <mergeCell ref="G9:G10"/>
    <mergeCell ref="H9:H10"/>
    <mergeCell ref="I9:I10"/>
    <mergeCell ref="J9:J10"/>
    <mergeCell ref="K9:K10"/>
    <mergeCell ref="L9:L10"/>
  </mergeCells>
  <hyperlinks>
    <hyperlink r:id="rId1" location="gid=0" ref="A3"/>
    <hyperlink r:id="rId2" ref="G13"/>
    <hyperlink r:id="rId3" ref="G15"/>
    <hyperlink r:id="rId4" ref="L15"/>
    <hyperlink r:id="rId5" ref="G16"/>
    <hyperlink r:id="rId6" ref="G17"/>
    <hyperlink r:id="rId7" ref="L17"/>
    <hyperlink r:id="rId8" ref="G18"/>
    <hyperlink r:id="rId9" ref="L18"/>
    <hyperlink r:id="rId10" ref="G19"/>
    <hyperlink r:id="rId11" ref="G21"/>
    <hyperlink r:id="rId12" ref="G22"/>
    <hyperlink r:id="rId13" ref="G23"/>
    <hyperlink r:id="rId14" ref="G24"/>
    <hyperlink r:id="rId15" ref="G26"/>
  </hyperlinks>
  <drawing r:id="rId1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42.25"/>
    <col customWidth="1" min="3" max="3" width="76.5"/>
    <col customWidth="1" min="6" max="6" width="46.0"/>
    <col customWidth="1" min="7" max="7" width="33.5"/>
    <col customWidth="1" min="10" max="10" width="30.63"/>
    <col customWidth="1" min="11" max="11" width="16.63"/>
    <col customWidth="1" min="12" max="12" width="24.0"/>
  </cols>
  <sheetData>
    <row r="1">
      <c r="A1" s="28" t="s">
        <v>0</v>
      </c>
      <c r="B1" s="29"/>
      <c r="E1" s="30"/>
      <c r="F1" s="30"/>
      <c r="G1" s="30"/>
      <c r="H1" s="30"/>
      <c r="I1" s="6"/>
      <c r="J1" s="30"/>
    </row>
    <row r="2">
      <c r="A2" s="30"/>
      <c r="B2" s="31"/>
      <c r="C2" s="31"/>
      <c r="D2" s="31"/>
      <c r="E2" s="30"/>
      <c r="F2" s="30"/>
      <c r="G2" s="30"/>
      <c r="H2" s="30"/>
      <c r="I2" s="6"/>
      <c r="J2" s="30"/>
    </row>
    <row r="3">
      <c r="A3" s="37" t="s">
        <v>133</v>
      </c>
      <c r="B3" s="33" t="s">
        <v>4</v>
      </c>
      <c r="C3" s="11"/>
      <c r="D3" s="12"/>
      <c r="E3" s="34"/>
      <c r="F3" s="34"/>
      <c r="G3" s="34"/>
      <c r="H3" s="35"/>
      <c r="I3" s="36"/>
      <c r="J3" s="36"/>
    </row>
    <row r="4">
      <c r="A4" s="37" t="s">
        <v>44</v>
      </c>
      <c r="B4" s="38" t="s">
        <v>134</v>
      </c>
      <c r="C4" s="11"/>
      <c r="D4" s="12"/>
      <c r="E4" s="34"/>
      <c r="F4" s="34"/>
      <c r="G4" s="34"/>
      <c r="H4" s="35"/>
      <c r="I4" s="36"/>
      <c r="J4" s="36"/>
    </row>
    <row r="5">
      <c r="A5" s="37" t="s">
        <v>46</v>
      </c>
      <c r="B5" s="33" t="s">
        <v>135</v>
      </c>
      <c r="C5" s="11"/>
      <c r="D5" s="12"/>
      <c r="E5" s="34"/>
      <c r="F5" s="34"/>
      <c r="G5" s="34"/>
      <c r="H5" s="35"/>
      <c r="I5" s="36"/>
      <c r="J5" s="36"/>
    </row>
    <row r="6">
      <c r="A6" s="39" t="s">
        <v>48</v>
      </c>
      <c r="B6" s="39">
        <v>9.0</v>
      </c>
      <c r="C6" s="40" t="s">
        <v>49</v>
      </c>
      <c r="D6" s="40">
        <v>0.0</v>
      </c>
      <c r="E6" s="35"/>
      <c r="F6" s="35"/>
      <c r="G6" s="35"/>
      <c r="H6" s="35"/>
      <c r="I6" s="36"/>
      <c r="J6" s="36"/>
    </row>
    <row r="7">
      <c r="A7" s="39" t="s">
        <v>50</v>
      </c>
      <c r="B7" s="39">
        <v>0.0</v>
      </c>
      <c r="C7" s="41" t="s">
        <v>51</v>
      </c>
      <c r="D7" s="40">
        <v>9.0</v>
      </c>
      <c r="E7" s="35"/>
      <c r="F7" s="35"/>
      <c r="G7" s="35"/>
      <c r="H7" s="35"/>
      <c r="I7" s="36"/>
      <c r="J7" s="36"/>
    </row>
    <row r="8">
      <c r="A8" s="42"/>
      <c r="B8" s="43"/>
      <c r="C8" s="43"/>
      <c r="D8" s="43"/>
      <c r="E8" s="35"/>
      <c r="F8" s="35"/>
      <c r="G8" s="35"/>
      <c r="H8" s="35"/>
      <c r="I8" s="44"/>
      <c r="J8" s="44"/>
    </row>
    <row r="9">
      <c r="A9" s="45" t="s">
        <v>52</v>
      </c>
      <c r="B9" s="46" t="s">
        <v>53</v>
      </c>
      <c r="C9" s="45" t="s">
        <v>54</v>
      </c>
      <c r="D9" s="47" t="s">
        <v>55</v>
      </c>
      <c r="G9" s="45" t="s">
        <v>56</v>
      </c>
      <c r="H9" s="48" t="s">
        <v>57</v>
      </c>
      <c r="I9" s="48" t="s">
        <v>58</v>
      </c>
      <c r="J9" s="48" t="s">
        <v>59</v>
      </c>
      <c r="K9" s="48" t="s">
        <v>60</v>
      </c>
      <c r="L9" s="48" t="s">
        <v>61</v>
      </c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  <c r="K10" s="49"/>
      <c r="L10" s="49"/>
    </row>
    <row r="11">
      <c r="A11" s="51"/>
      <c r="B11" s="43"/>
      <c r="C11" s="43"/>
      <c r="D11" s="43"/>
      <c r="E11" s="43"/>
      <c r="F11" s="43"/>
      <c r="G11" s="43"/>
      <c r="H11" s="43"/>
      <c r="I11" s="43"/>
      <c r="J11" s="43"/>
      <c r="K11" s="11"/>
      <c r="L11" s="12"/>
    </row>
    <row r="12">
      <c r="A12" s="52" t="s">
        <v>136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2"/>
    </row>
    <row r="13">
      <c r="A13" s="54" t="s">
        <v>137</v>
      </c>
      <c r="B13" s="54" t="s">
        <v>138</v>
      </c>
      <c r="C13" s="54" t="s">
        <v>139</v>
      </c>
      <c r="D13" s="65" t="s">
        <v>140</v>
      </c>
      <c r="E13" s="62"/>
      <c r="F13" s="62"/>
      <c r="G13" s="59" t="s">
        <v>141</v>
      </c>
      <c r="H13" s="57">
        <v>46116.0</v>
      </c>
      <c r="I13" s="53" t="s">
        <v>50</v>
      </c>
      <c r="J13" s="58" t="s">
        <v>142</v>
      </c>
      <c r="K13" s="58" t="s">
        <v>48</v>
      </c>
      <c r="L13" s="60" t="s">
        <v>143</v>
      </c>
    </row>
    <row r="14">
      <c r="A14" s="54" t="s">
        <v>144</v>
      </c>
      <c r="B14" s="54" t="s">
        <v>145</v>
      </c>
      <c r="C14" s="54" t="s">
        <v>146</v>
      </c>
      <c r="D14" s="61" t="s">
        <v>147</v>
      </c>
      <c r="E14" s="62"/>
      <c r="F14" s="62"/>
      <c r="G14" s="59" t="s">
        <v>148</v>
      </c>
      <c r="H14" s="57">
        <v>46116.0</v>
      </c>
      <c r="I14" s="53" t="s">
        <v>48</v>
      </c>
      <c r="J14" s="54" t="s">
        <v>147</v>
      </c>
      <c r="K14" s="54"/>
      <c r="L14" s="54"/>
    </row>
    <row r="15">
      <c r="A15" s="54" t="s">
        <v>149</v>
      </c>
      <c r="B15" s="54" t="s">
        <v>150</v>
      </c>
      <c r="C15" s="54" t="s">
        <v>151</v>
      </c>
      <c r="D15" s="61" t="s">
        <v>152</v>
      </c>
      <c r="E15" s="62"/>
      <c r="F15" s="62"/>
      <c r="G15" s="59" t="s">
        <v>153</v>
      </c>
      <c r="H15" s="57">
        <v>46116.0</v>
      </c>
      <c r="I15" s="53" t="s">
        <v>48</v>
      </c>
      <c r="J15" s="54" t="s">
        <v>154</v>
      </c>
      <c r="K15" s="54"/>
      <c r="L15" s="54"/>
    </row>
    <row r="16">
      <c r="A16" s="54" t="s">
        <v>155</v>
      </c>
      <c r="B16" s="54" t="s">
        <v>156</v>
      </c>
      <c r="C16" s="54" t="s">
        <v>157</v>
      </c>
      <c r="D16" s="61" t="s">
        <v>158</v>
      </c>
      <c r="E16" s="62"/>
      <c r="F16" s="62"/>
      <c r="G16" s="59" t="s">
        <v>159</v>
      </c>
      <c r="H16" s="57">
        <v>46116.0</v>
      </c>
      <c r="I16" s="53" t="s">
        <v>48</v>
      </c>
      <c r="J16" s="54" t="s">
        <v>160</v>
      </c>
      <c r="K16" s="54"/>
      <c r="L16" s="54"/>
    </row>
    <row r="17">
      <c r="A17" s="54" t="s">
        <v>161</v>
      </c>
      <c r="B17" s="54" t="s">
        <v>162</v>
      </c>
      <c r="C17" s="54" t="s">
        <v>163</v>
      </c>
      <c r="D17" s="61" t="s">
        <v>164</v>
      </c>
      <c r="E17" s="62"/>
      <c r="F17" s="62"/>
      <c r="G17" s="59" t="s">
        <v>165</v>
      </c>
      <c r="H17" s="57">
        <v>46116.0</v>
      </c>
      <c r="I17" s="53" t="s">
        <v>48</v>
      </c>
      <c r="J17" s="54" t="s">
        <v>166</v>
      </c>
      <c r="K17" s="54"/>
      <c r="L17" s="54"/>
    </row>
    <row r="18">
      <c r="A18" s="54" t="s">
        <v>167</v>
      </c>
      <c r="B18" s="54" t="s">
        <v>168</v>
      </c>
      <c r="C18" s="54" t="s">
        <v>169</v>
      </c>
      <c r="D18" s="61" t="s">
        <v>170</v>
      </c>
      <c r="E18" s="62"/>
      <c r="F18" s="62"/>
      <c r="G18" s="66" t="s">
        <v>171</v>
      </c>
      <c r="H18" s="57">
        <v>46116.0</v>
      </c>
      <c r="I18" s="53" t="s">
        <v>48</v>
      </c>
      <c r="J18" s="54" t="s">
        <v>172</v>
      </c>
      <c r="K18" s="54"/>
      <c r="L18" s="54"/>
    </row>
    <row r="19">
      <c r="A19" s="54" t="s">
        <v>173</v>
      </c>
      <c r="B19" s="54" t="s">
        <v>174</v>
      </c>
      <c r="C19" s="54" t="s">
        <v>175</v>
      </c>
      <c r="D19" s="61" t="s">
        <v>176</v>
      </c>
      <c r="E19" s="62"/>
      <c r="F19" s="62"/>
      <c r="G19" s="66" t="s">
        <v>177</v>
      </c>
      <c r="H19" s="57">
        <v>46116.0</v>
      </c>
      <c r="I19" s="53" t="s">
        <v>48</v>
      </c>
      <c r="J19" s="54" t="s">
        <v>178</v>
      </c>
      <c r="K19" s="54"/>
      <c r="L19" s="54"/>
    </row>
    <row r="20">
      <c r="A20" s="52" t="s">
        <v>179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2"/>
    </row>
    <row r="21">
      <c r="A21" s="58" t="s">
        <v>180</v>
      </c>
      <c r="B21" s="58" t="s">
        <v>181</v>
      </c>
      <c r="C21" s="54" t="s">
        <v>182</v>
      </c>
      <c r="D21" s="61" t="s">
        <v>183</v>
      </c>
      <c r="E21" s="62"/>
      <c r="F21" s="62"/>
      <c r="G21" s="59" t="s">
        <v>184</v>
      </c>
      <c r="H21" s="57">
        <v>46116.0</v>
      </c>
      <c r="I21" s="53" t="s">
        <v>48</v>
      </c>
      <c r="J21" s="54" t="s">
        <v>185</v>
      </c>
      <c r="K21" s="54"/>
      <c r="L21" s="54"/>
    </row>
    <row r="22">
      <c r="A22" s="58" t="s">
        <v>186</v>
      </c>
      <c r="B22" s="58" t="s">
        <v>187</v>
      </c>
      <c r="C22" s="54" t="s">
        <v>188</v>
      </c>
      <c r="D22" s="61" t="s">
        <v>189</v>
      </c>
      <c r="E22" s="62"/>
      <c r="F22" s="62"/>
      <c r="G22" s="67" t="s">
        <v>190</v>
      </c>
      <c r="H22" s="57">
        <v>46116.0</v>
      </c>
      <c r="I22" s="53" t="s">
        <v>48</v>
      </c>
      <c r="J22" s="54" t="s">
        <v>191</v>
      </c>
      <c r="K22" s="54"/>
      <c r="L22" s="54"/>
    </row>
  </sheetData>
  <mergeCells count="17">
    <mergeCell ref="B1:D2"/>
    <mergeCell ref="B3:D3"/>
    <mergeCell ref="B4:D4"/>
    <mergeCell ref="B5:D5"/>
    <mergeCell ref="A9:A10"/>
    <mergeCell ref="B9:B10"/>
    <mergeCell ref="C9:C10"/>
    <mergeCell ref="J11:L11"/>
    <mergeCell ref="A12:L12"/>
    <mergeCell ref="A20:L20"/>
    <mergeCell ref="D9:F10"/>
    <mergeCell ref="G9:G10"/>
    <mergeCell ref="H9:H10"/>
    <mergeCell ref="I9:I10"/>
    <mergeCell ref="J9:J10"/>
    <mergeCell ref="K9:K10"/>
    <mergeCell ref="L9:L10"/>
  </mergeCells>
  <hyperlinks>
    <hyperlink r:id="rId1" ref="G13"/>
    <hyperlink r:id="rId2" ref="L13"/>
    <hyperlink r:id="rId3" ref="G14"/>
    <hyperlink r:id="rId4" ref="G15"/>
    <hyperlink r:id="rId5" ref="G16"/>
    <hyperlink r:id="rId6" ref="G17"/>
    <hyperlink r:id="rId7" ref="G18"/>
    <hyperlink r:id="rId8" ref="G19"/>
    <hyperlink r:id="rId9" ref="G21"/>
    <hyperlink r:id="rId10" ref="G22"/>
  </hyperlinks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1.5"/>
    <col customWidth="1" min="3" max="3" width="64.0"/>
    <col customWidth="1" min="6" max="6" width="43.63"/>
    <col customWidth="1" min="7" max="7" width="30.63"/>
    <col customWidth="1" min="10" max="10" width="53.75"/>
    <col customWidth="1" min="11" max="11" width="16.38"/>
    <col customWidth="1" min="12" max="12" width="45.25"/>
  </cols>
  <sheetData>
    <row r="1">
      <c r="A1" s="28" t="s">
        <v>0</v>
      </c>
      <c r="B1" s="29"/>
      <c r="E1" s="30"/>
      <c r="F1" s="30"/>
      <c r="G1" s="30"/>
      <c r="H1" s="30"/>
      <c r="I1" s="6"/>
      <c r="J1" s="30"/>
    </row>
    <row r="2">
      <c r="A2" s="30"/>
      <c r="B2" s="31"/>
      <c r="C2" s="31"/>
      <c r="D2" s="31"/>
      <c r="E2" s="30"/>
      <c r="F2" s="30"/>
      <c r="G2" s="30"/>
      <c r="H2" s="30"/>
      <c r="I2" s="6"/>
      <c r="J2" s="30"/>
    </row>
    <row r="3">
      <c r="A3" s="37" t="s">
        <v>133</v>
      </c>
      <c r="B3" s="33" t="s">
        <v>4</v>
      </c>
      <c r="C3" s="11"/>
      <c r="D3" s="12"/>
      <c r="E3" s="34"/>
      <c r="F3" s="34"/>
      <c r="G3" s="34"/>
      <c r="H3" s="35"/>
      <c r="I3" s="36"/>
      <c r="J3" s="36"/>
    </row>
    <row r="4">
      <c r="A4" s="37" t="s">
        <v>44</v>
      </c>
      <c r="B4" s="38" t="s">
        <v>192</v>
      </c>
      <c r="C4" s="11"/>
      <c r="D4" s="12"/>
      <c r="E4" s="34"/>
      <c r="F4" s="34"/>
      <c r="G4" s="34"/>
      <c r="H4" s="35"/>
      <c r="I4" s="36"/>
      <c r="J4" s="36"/>
    </row>
    <row r="5">
      <c r="A5" s="37" t="s">
        <v>46</v>
      </c>
      <c r="B5" s="33" t="s">
        <v>193</v>
      </c>
      <c r="C5" s="11"/>
      <c r="D5" s="12"/>
      <c r="E5" s="34"/>
      <c r="F5" s="34"/>
      <c r="G5" s="34"/>
      <c r="H5" s="35"/>
      <c r="I5" s="36"/>
      <c r="J5" s="36"/>
    </row>
    <row r="6">
      <c r="A6" s="39" t="s">
        <v>48</v>
      </c>
      <c r="B6" s="39">
        <v>6.0</v>
      </c>
      <c r="C6" s="40" t="s">
        <v>49</v>
      </c>
      <c r="D6" s="40">
        <v>0.0</v>
      </c>
      <c r="E6" s="35"/>
      <c r="F6" s="35"/>
      <c r="G6" s="35"/>
      <c r="H6" s="35"/>
      <c r="I6" s="36"/>
      <c r="J6" s="36"/>
    </row>
    <row r="7">
      <c r="A7" s="39" t="s">
        <v>50</v>
      </c>
      <c r="B7" s="39">
        <v>0.0</v>
      </c>
      <c r="C7" s="41" t="s">
        <v>51</v>
      </c>
      <c r="D7" s="40">
        <v>6.0</v>
      </c>
      <c r="E7" s="35"/>
      <c r="F7" s="35"/>
      <c r="G7" s="35"/>
      <c r="H7" s="35"/>
      <c r="I7" s="36"/>
      <c r="J7" s="36"/>
    </row>
    <row r="8">
      <c r="A8" s="42"/>
      <c r="B8" s="43"/>
      <c r="C8" s="43"/>
      <c r="D8" s="43"/>
      <c r="E8" s="35"/>
      <c r="F8" s="35"/>
      <c r="G8" s="35"/>
      <c r="H8" s="35"/>
      <c r="I8" s="44"/>
      <c r="J8" s="44"/>
    </row>
    <row r="9">
      <c r="A9" s="45" t="s">
        <v>52</v>
      </c>
      <c r="B9" s="46" t="s">
        <v>53</v>
      </c>
      <c r="C9" s="45" t="s">
        <v>54</v>
      </c>
      <c r="D9" s="47" t="s">
        <v>55</v>
      </c>
      <c r="G9" s="45" t="s">
        <v>56</v>
      </c>
      <c r="H9" s="48" t="s">
        <v>57</v>
      </c>
      <c r="I9" s="48" t="s">
        <v>58</v>
      </c>
      <c r="J9" s="48" t="s">
        <v>59</v>
      </c>
      <c r="K9" s="48" t="s">
        <v>60</v>
      </c>
      <c r="L9" s="48" t="s">
        <v>61</v>
      </c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  <c r="K10" s="49"/>
      <c r="L10" s="49"/>
    </row>
    <row r="11">
      <c r="A11" s="51"/>
      <c r="B11" s="43"/>
      <c r="C11" s="43"/>
      <c r="D11" s="43"/>
      <c r="E11" s="43"/>
      <c r="F11" s="43"/>
      <c r="G11" s="43"/>
      <c r="H11" s="43"/>
      <c r="I11" s="43"/>
      <c r="J11" s="11"/>
      <c r="K11" s="11"/>
      <c r="L11" s="11"/>
    </row>
    <row r="12">
      <c r="A12" s="52" t="s">
        <v>194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2"/>
    </row>
    <row r="13">
      <c r="A13" s="54" t="s">
        <v>195</v>
      </c>
      <c r="B13" s="54" t="s">
        <v>196</v>
      </c>
      <c r="C13" s="54" t="s">
        <v>197</v>
      </c>
      <c r="D13" s="61" t="s">
        <v>198</v>
      </c>
      <c r="E13" s="62"/>
      <c r="F13" s="62"/>
      <c r="G13" s="66" t="s">
        <v>199</v>
      </c>
      <c r="H13" s="57">
        <v>46116.0</v>
      </c>
      <c r="I13" s="53" t="s">
        <v>48</v>
      </c>
      <c r="J13" s="53" t="s">
        <v>200</v>
      </c>
      <c r="K13" s="53"/>
      <c r="L13" s="53"/>
    </row>
    <row r="14">
      <c r="A14" s="54" t="s">
        <v>201</v>
      </c>
      <c r="B14" s="54" t="s">
        <v>202</v>
      </c>
      <c r="C14" s="58" t="s">
        <v>203</v>
      </c>
      <c r="D14" s="61" t="s">
        <v>204</v>
      </c>
      <c r="E14" s="62"/>
      <c r="F14" s="62"/>
      <c r="G14" s="66" t="s">
        <v>205</v>
      </c>
      <c r="H14" s="57">
        <v>46116.0</v>
      </c>
      <c r="I14" s="53" t="s">
        <v>48</v>
      </c>
      <c r="J14" s="53" t="s">
        <v>206</v>
      </c>
      <c r="K14" s="53"/>
      <c r="L14" s="53"/>
    </row>
    <row r="15">
      <c r="A15" s="54" t="s">
        <v>207</v>
      </c>
      <c r="B15" s="54" t="s">
        <v>208</v>
      </c>
      <c r="C15" s="58" t="s">
        <v>209</v>
      </c>
      <c r="D15" s="61" t="s">
        <v>210</v>
      </c>
      <c r="E15" s="62"/>
      <c r="F15" s="62"/>
      <c r="G15" s="66" t="s">
        <v>211</v>
      </c>
      <c r="H15" s="57">
        <v>46116.0</v>
      </c>
      <c r="I15" s="53" t="s">
        <v>48</v>
      </c>
      <c r="J15" s="53" t="s">
        <v>212</v>
      </c>
      <c r="K15" s="53"/>
      <c r="L15" s="53"/>
    </row>
    <row r="16">
      <c r="A16" s="52" t="s">
        <v>213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2"/>
    </row>
    <row r="17">
      <c r="A17" s="54" t="s">
        <v>214</v>
      </c>
      <c r="B17" s="54" t="s">
        <v>215</v>
      </c>
      <c r="C17" s="54" t="s">
        <v>216</v>
      </c>
      <c r="D17" s="61" t="s">
        <v>217</v>
      </c>
      <c r="E17" s="62"/>
      <c r="F17" s="62"/>
      <c r="G17" s="66" t="s">
        <v>218</v>
      </c>
      <c r="H17" s="57">
        <v>46116.0</v>
      </c>
      <c r="I17" s="53" t="s">
        <v>48</v>
      </c>
      <c r="J17" s="53" t="s">
        <v>219</v>
      </c>
      <c r="K17" s="53"/>
      <c r="L17" s="53"/>
    </row>
    <row r="18">
      <c r="A18" s="54" t="s">
        <v>220</v>
      </c>
      <c r="B18" s="54" t="s">
        <v>221</v>
      </c>
      <c r="C18" s="54" t="s">
        <v>222</v>
      </c>
      <c r="D18" s="61" t="s">
        <v>223</v>
      </c>
      <c r="E18" s="62"/>
      <c r="F18" s="62"/>
      <c r="G18" s="66" t="s">
        <v>224</v>
      </c>
      <c r="H18" s="57">
        <v>46116.0</v>
      </c>
      <c r="I18" s="53" t="s">
        <v>50</v>
      </c>
      <c r="J18" s="53" t="s">
        <v>225</v>
      </c>
      <c r="K18" s="53" t="s">
        <v>48</v>
      </c>
      <c r="L18" s="66" t="s">
        <v>226</v>
      </c>
    </row>
    <row r="19">
      <c r="A19" s="54" t="s">
        <v>227</v>
      </c>
      <c r="B19" s="54" t="s">
        <v>228</v>
      </c>
      <c r="C19" s="58" t="s">
        <v>229</v>
      </c>
      <c r="D19" s="65" t="s">
        <v>230</v>
      </c>
      <c r="E19" s="62"/>
      <c r="F19" s="62"/>
      <c r="G19" s="66" t="s">
        <v>231</v>
      </c>
      <c r="H19" s="57">
        <v>46116.0</v>
      </c>
      <c r="I19" s="53" t="s">
        <v>48</v>
      </c>
      <c r="J19" s="53" t="s">
        <v>232</v>
      </c>
      <c r="K19" s="53"/>
      <c r="L19" s="53"/>
    </row>
  </sheetData>
  <mergeCells count="17">
    <mergeCell ref="B1:D2"/>
    <mergeCell ref="B3:D3"/>
    <mergeCell ref="B4:D4"/>
    <mergeCell ref="B5:D5"/>
    <mergeCell ref="A9:A10"/>
    <mergeCell ref="B9:B10"/>
    <mergeCell ref="C9:C10"/>
    <mergeCell ref="I11:L11"/>
    <mergeCell ref="A12:L12"/>
    <mergeCell ref="A16:L16"/>
    <mergeCell ref="D9:F10"/>
    <mergeCell ref="G9:G10"/>
    <mergeCell ref="H9:H10"/>
    <mergeCell ref="I9:I10"/>
    <mergeCell ref="J9:J10"/>
    <mergeCell ref="K9:K10"/>
    <mergeCell ref="L9:L10"/>
  </mergeCells>
  <hyperlinks>
    <hyperlink r:id="rId1" ref="G13"/>
    <hyperlink r:id="rId2" ref="G14"/>
    <hyperlink r:id="rId3" ref="G15"/>
    <hyperlink r:id="rId4" ref="G17"/>
    <hyperlink r:id="rId5" ref="G18"/>
    <hyperlink r:id="rId6" ref="L18"/>
    <hyperlink r:id="rId7" ref="G19"/>
  </hyperlinks>
  <drawing r:id="rId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4.13"/>
    <col customWidth="1" min="3" max="3" width="98.13"/>
    <col customWidth="1" min="6" max="6" width="42.25"/>
    <col customWidth="1" min="7" max="7" width="16.88"/>
    <col customWidth="1" min="9" max="9" width="9.0"/>
    <col customWidth="1" min="10" max="10" width="67.25"/>
    <col customWidth="1" min="11" max="11" width="17.0"/>
    <col customWidth="1" min="12" max="12" width="45.63"/>
  </cols>
  <sheetData>
    <row r="1">
      <c r="A1" s="28" t="s">
        <v>0</v>
      </c>
      <c r="B1" s="29"/>
      <c r="E1" s="30"/>
      <c r="F1" s="30"/>
      <c r="G1" s="30"/>
      <c r="H1" s="30"/>
      <c r="I1" s="6"/>
      <c r="J1" s="30"/>
    </row>
    <row r="2">
      <c r="A2" s="30"/>
      <c r="B2" s="31"/>
      <c r="C2" s="31"/>
      <c r="D2" s="31"/>
      <c r="E2" s="30"/>
      <c r="F2" s="30"/>
      <c r="G2" s="30"/>
      <c r="H2" s="30"/>
      <c r="I2" s="6"/>
      <c r="J2" s="30"/>
    </row>
    <row r="3">
      <c r="A3" s="37" t="s">
        <v>133</v>
      </c>
      <c r="B3" s="33" t="s">
        <v>4</v>
      </c>
      <c r="C3" s="11"/>
      <c r="D3" s="12"/>
      <c r="E3" s="34"/>
      <c r="F3" s="34"/>
      <c r="G3" s="34"/>
      <c r="H3" s="35"/>
      <c r="I3" s="36"/>
      <c r="J3" s="36"/>
    </row>
    <row r="4">
      <c r="A4" s="37" t="s">
        <v>44</v>
      </c>
      <c r="B4" s="38" t="s">
        <v>233</v>
      </c>
      <c r="C4" s="11"/>
      <c r="D4" s="12"/>
      <c r="E4" s="34"/>
      <c r="F4" s="34"/>
      <c r="G4" s="34"/>
      <c r="H4" s="35"/>
      <c r="I4" s="36"/>
      <c r="J4" s="36"/>
    </row>
    <row r="5">
      <c r="A5" s="37" t="s">
        <v>46</v>
      </c>
      <c r="B5" s="33" t="s">
        <v>234</v>
      </c>
      <c r="C5" s="11"/>
      <c r="D5" s="12"/>
      <c r="E5" s="34"/>
      <c r="F5" s="34"/>
      <c r="G5" s="34"/>
      <c r="H5" s="35"/>
      <c r="I5" s="36"/>
      <c r="J5" s="36"/>
    </row>
    <row r="6">
      <c r="A6" s="39" t="s">
        <v>48</v>
      </c>
      <c r="B6" s="39">
        <v>13.0</v>
      </c>
      <c r="C6" s="40" t="s">
        <v>49</v>
      </c>
      <c r="D6" s="40">
        <v>0.0</v>
      </c>
      <c r="E6" s="35"/>
      <c r="F6" s="35"/>
      <c r="G6" s="35"/>
      <c r="H6" s="35"/>
      <c r="I6" s="36"/>
      <c r="J6" s="36"/>
    </row>
    <row r="7">
      <c r="A7" s="39" t="s">
        <v>50</v>
      </c>
      <c r="B7" s="39">
        <v>0.0</v>
      </c>
      <c r="C7" s="41" t="s">
        <v>51</v>
      </c>
      <c r="D7" s="40">
        <v>13.0</v>
      </c>
      <c r="E7" s="35"/>
      <c r="F7" s="35"/>
      <c r="G7" s="35"/>
      <c r="H7" s="35"/>
      <c r="I7" s="36"/>
      <c r="J7" s="36"/>
    </row>
    <row r="8">
      <c r="A8" s="42"/>
      <c r="B8" s="43"/>
      <c r="C8" s="43"/>
      <c r="D8" s="43"/>
      <c r="E8" s="35"/>
      <c r="F8" s="35"/>
      <c r="G8" s="35"/>
      <c r="H8" s="35"/>
      <c r="I8" s="44"/>
      <c r="J8" s="44"/>
    </row>
    <row r="9">
      <c r="A9" s="45" t="s">
        <v>52</v>
      </c>
      <c r="B9" s="46" t="s">
        <v>53</v>
      </c>
      <c r="C9" s="45" t="s">
        <v>54</v>
      </c>
      <c r="D9" s="47" t="s">
        <v>55</v>
      </c>
      <c r="G9" s="45" t="s">
        <v>56</v>
      </c>
      <c r="H9" s="48" t="s">
        <v>57</v>
      </c>
      <c r="I9" s="48" t="s">
        <v>58</v>
      </c>
      <c r="J9" s="48" t="s">
        <v>59</v>
      </c>
      <c r="K9" s="48" t="s">
        <v>60</v>
      </c>
      <c r="L9" s="48" t="s">
        <v>61</v>
      </c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  <c r="K10" s="49"/>
      <c r="L10" s="49"/>
    </row>
    <row r="11">
      <c r="A11" s="51"/>
      <c r="B11" s="43"/>
      <c r="C11" s="43"/>
      <c r="D11" s="43"/>
      <c r="E11" s="43"/>
      <c r="F11" s="43"/>
      <c r="G11" s="43"/>
      <c r="H11" s="43"/>
      <c r="I11" s="43"/>
      <c r="J11" s="68"/>
      <c r="K11" s="68"/>
      <c r="L11" s="68"/>
    </row>
    <row r="12">
      <c r="A12" s="52" t="s">
        <v>235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2"/>
    </row>
    <row r="13">
      <c r="A13" s="54" t="s">
        <v>236</v>
      </c>
      <c r="B13" s="54" t="s">
        <v>237</v>
      </c>
      <c r="C13" s="58" t="s">
        <v>238</v>
      </c>
      <c r="D13" s="61" t="s">
        <v>239</v>
      </c>
      <c r="E13" s="62"/>
      <c r="F13" s="62"/>
      <c r="G13" s="66" t="s">
        <v>240</v>
      </c>
      <c r="H13" s="57">
        <v>46109.0</v>
      </c>
      <c r="I13" s="53" t="s">
        <v>48</v>
      </c>
      <c r="J13" s="54" t="s">
        <v>239</v>
      </c>
      <c r="K13" s="54"/>
      <c r="L13" s="54"/>
    </row>
    <row r="14">
      <c r="A14" s="54" t="s">
        <v>241</v>
      </c>
      <c r="B14" s="54" t="s">
        <v>242</v>
      </c>
      <c r="C14" s="58" t="s">
        <v>243</v>
      </c>
      <c r="D14" s="65" t="s">
        <v>244</v>
      </c>
      <c r="E14" s="62"/>
      <c r="F14" s="62"/>
      <c r="G14" s="66" t="s">
        <v>245</v>
      </c>
      <c r="H14" s="57">
        <v>46109.0</v>
      </c>
      <c r="I14" s="53" t="s">
        <v>48</v>
      </c>
      <c r="J14" s="54" t="s">
        <v>246</v>
      </c>
      <c r="K14" s="54"/>
      <c r="L14" s="54"/>
    </row>
    <row r="15">
      <c r="A15" s="52" t="s">
        <v>247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2"/>
    </row>
    <row r="16">
      <c r="A16" s="54" t="s">
        <v>248</v>
      </c>
      <c r="B16" s="54" t="s">
        <v>249</v>
      </c>
      <c r="C16" s="54" t="s">
        <v>250</v>
      </c>
      <c r="D16" s="65" t="s">
        <v>251</v>
      </c>
      <c r="E16" s="62"/>
      <c r="F16" s="62"/>
      <c r="G16" s="69" t="s">
        <v>252</v>
      </c>
      <c r="H16" s="57">
        <v>46109.0</v>
      </c>
      <c r="I16" s="53" t="s">
        <v>50</v>
      </c>
      <c r="J16" s="53" t="s">
        <v>253</v>
      </c>
      <c r="K16" s="53" t="s">
        <v>48</v>
      </c>
      <c r="L16" s="66" t="s">
        <v>254</v>
      </c>
    </row>
    <row r="17">
      <c r="A17" s="54" t="s">
        <v>255</v>
      </c>
      <c r="B17" s="54" t="s">
        <v>256</v>
      </c>
      <c r="C17" s="54" t="s">
        <v>257</v>
      </c>
      <c r="D17" s="61" t="s">
        <v>258</v>
      </c>
      <c r="E17" s="62"/>
      <c r="F17" s="62"/>
      <c r="G17" s="66" t="s">
        <v>259</v>
      </c>
      <c r="H17" s="57">
        <v>46109.0</v>
      </c>
      <c r="I17" s="53" t="s">
        <v>48</v>
      </c>
      <c r="J17" s="53" t="s">
        <v>260</v>
      </c>
      <c r="K17" s="53"/>
      <c r="L17" s="53"/>
    </row>
    <row r="18">
      <c r="A18" s="54" t="s">
        <v>261</v>
      </c>
      <c r="B18" s="58" t="s">
        <v>262</v>
      </c>
      <c r="C18" s="58" t="s">
        <v>263</v>
      </c>
      <c r="D18" s="65" t="s">
        <v>264</v>
      </c>
      <c r="E18" s="62"/>
      <c r="F18" s="62"/>
      <c r="G18" s="66" t="s">
        <v>265</v>
      </c>
      <c r="H18" s="57">
        <v>46109.0</v>
      </c>
      <c r="I18" s="53" t="s">
        <v>50</v>
      </c>
      <c r="J18" s="53" t="s">
        <v>266</v>
      </c>
      <c r="K18" s="53" t="s">
        <v>48</v>
      </c>
      <c r="L18" s="66" t="s">
        <v>267</v>
      </c>
    </row>
    <row r="19">
      <c r="A19" s="52" t="s">
        <v>268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2"/>
    </row>
    <row r="20">
      <c r="A20" s="54" t="s">
        <v>269</v>
      </c>
      <c r="B20" s="58" t="s">
        <v>270</v>
      </c>
      <c r="C20" s="58" t="s">
        <v>271</v>
      </c>
      <c r="D20" s="65" t="s">
        <v>272</v>
      </c>
      <c r="E20" s="62"/>
      <c r="F20" s="62"/>
      <c r="G20" s="66" t="s">
        <v>273</v>
      </c>
      <c r="H20" s="57">
        <v>46109.0</v>
      </c>
      <c r="I20" s="53" t="s">
        <v>50</v>
      </c>
      <c r="J20" s="53" t="s">
        <v>274</v>
      </c>
      <c r="K20" s="53" t="s">
        <v>48</v>
      </c>
      <c r="L20" s="66" t="s">
        <v>275</v>
      </c>
    </row>
    <row r="21">
      <c r="A21" s="54" t="s">
        <v>276</v>
      </c>
      <c r="B21" s="58" t="s">
        <v>277</v>
      </c>
      <c r="C21" s="58" t="s">
        <v>278</v>
      </c>
      <c r="D21" s="65" t="s">
        <v>279</v>
      </c>
      <c r="E21" s="62"/>
      <c r="F21" s="62"/>
      <c r="G21" s="66" t="s">
        <v>280</v>
      </c>
      <c r="H21" s="57">
        <v>46109.0</v>
      </c>
      <c r="I21" s="53" t="s">
        <v>50</v>
      </c>
      <c r="J21" s="53" t="s">
        <v>281</v>
      </c>
      <c r="K21" s="53" t="s">
        <v>48</v>
      </c>
      <c r="L21" s="66" t="s">
        <v>282</v>
      </c>
    </row>
    <row r="22">
      <c r="A22" s="54" t="s">
        <v>283</v>
      </c>
      <c r="B22" s="54" t="s">
        <v>284</v>
      </c>
      <c r="C22" s="54" t="s">
        <v>285</v>
      </c>
      <c r="D22" s="65" t="s">
        <v>286</v>
      </c>
      <c r="E22" s="62"/>
      <c r="F22" s="62"/>
      <c r="G22" s="66" t="s">
        <v>287</v>
      </c>
      <c r="H22" s="57">
        <v>46109.0</v>
      </c>
      <c r="I22" s="53" t="s">
        <v>50</v>
      </c>
      <c r="J22" s="53" t="s">
        <v>288</v>
      </c>
      <c r="K22" s="53" t="s">
        <v>48</v>
      </c>
      <c r="L22" s="66" t="s">
        <v>289</v>
      </c>
    </row>
    <row r="23">
      <c r="A23" s="54" t="s">
        <v>290</v>
      </c>
      <c r="B23" s="54" t="s">
        <v>291</v>
      </c>
      <c r="C23" s="54" t="s">
        <v>292</v>
      </c>
      <c r="D23" s="65" t="s">
        <v>293</v>
      </c>
      <c r="E23" s="62"/>
      <c r="F23" s="62"/>
      <c r="G23" s="66" t="s">
        <v>294</v>
      </c>
      <c r="H23" s="57">
        <v>46109.0</v>
      </c>
      <c r="I23" s="53" t="s">
        <v>50</v>
      </c>
      <c r="J23" s="53" t="s">
        <v>295</v>
      </c>
      <c r="K23" s="53" t="s">
        <v>48</v>
      </c>
      <c r="L23" s="66" t="s">
        <v>296</v>
      </c>
    </row>
    <row r="24">
      <c r="A24" s="54" t="s">
        <v>297</v>
      </c>
      <c r="B24" s="54" t="s">
        <v>298</v>
      </c>
      <c r="C24" s="54" t="s">
        <v>299</v>
      </c>
      <c r="D24" s="65" t="s">
        <v>300</v>
      </c>
      <c r="E24" s="62"/>
      <c r="F24" s="62"/>
      <c r="G24" s="66" t="s">
        <v>301</v>
      </c>
      <c r="H24" s="57">
        <v>46109.0</v>
      </c>
      <c r="I24" s="53" t="s">
        <v>50</v>
      </c>
      <c r="J24" s="53" t="s">
        <v>302</v>
      </c>
      <c r="K24" s="53" t="s">
        <v>48</v>
      </c>
      <c r="L24" s="66" t="s">
        <v>303</v>
      </c>
    </row>
    <row r="25">
      <c r="A25" s="54" t="s">
        <v>304</v>
      </c>
      <c r="B25" s="54" t="s">
        <v>305</v>
      </c>
      <c r="C25" s="54" t="s">
        <v>306</v>
      </c>
      <c r="D25" s="65" t="s">
        <v>307</v>
      </c>
      <c r="E25" s="62"/>
      <c r="F25" s="62"/>
      <c r="G25" s="66" t="s">
        <v>308</v>
      </c>
      <c r="H25" s="57">
        <v>46109.0</v>
      </c>
      <c r="I25" s="53" t="s">
        <v>50</v>
      </c>
      <c r="J25" s="58" t="s">
        <v>309</v>
      </c>
      <c r="K25" s="58" t="s">
        <v>48</v>
      </c>
      <c r="L25" s="60" t="s">
        <v>310</v>
      </c>
    </row>
    <row r="26">
      <c r="A26" s="54" t="s">
        <v>311</v>
      </c>
      <c r="B26" s="58" t="s">
        <v>312</v>
      </c>
      <c r="C26" s="54" t="s">
        <v>313</v>
      </c>
      <c r="D26" s="61" t="s">
        <v>314</v>
      </c>
      <c r="E26" s="62"/>
      <c r="F26" s="62"/>
      <c r="G26" s="66" t="s">
        <v>315</v>
      </c>
      <c r="H26" s="57">
        <v>46109.0</v>
      </c>
      <c r="I26" s="53" t="s">
        <v>48</v>
      </c>
      <c r="J26" s="58" t="s">
        <v>316</v>
      </c>
      <c r="K26" s="58"/>
      <c r="L26" s="58"/>
    </row>
    <row r="27">
      <c r="A27" s="54" t="s">
        <v>317</v>
      </c>
      <c r="B27" s="58" t="s">
        <v>318</v>
      </c>
      <c r="C27" s="58" t="s">
        <v>319</v>
      </c>
      <c r="D27" s="65" t="s">
        <v>320</v>
      </c>
      <c r="E27" s="62"/>
      <c r="F27" s="62"/>
      <c r="G27" s="66" t="s">
        <v>321</v>
      </c>
      <c r="H27" s="57">
        <v>46109.0</v>
      </c>
      <c r="I27" s="53" t="s">
        <v>48</v>
      </c>
      <c r="J27" s="58" t="s">
        <v>322</v>
      </c>
      <c r="K27" s="58"/>
      <c r="L27" s="58"/>
    </row>
  </sheetData>
  <mergeCells count="17">
    <mergeCell ref="B1:D2"/>
    <mergeCell ref="B3:D3"/>
    <mergeCell ref="B4:D4"/>
    <mergeCell ref="B5:D5"/>
    <mergeCell ref="A9:A10"/>
    <mergeCell ref="B9:B10"/>
    <mergeCell ref="C9:C10"/>
    <mergeCell ref="A12:L12"/>
    <mergeCell ref="A15:L15"/>
    <mergeCell ref="A19:L19"/>
    <mergeCell ref="D9:F10"/>
    <mergeCell ref="G9:G10"/>
    <mergeCell ref="H9:H10"/>
    <mergeCell ref="I9:I10"/>
    <mergeCell ref="J9:J10"/>
    <mergeCell ref="K9:K10"/>
    <mergeCell ref="L9:L10"/>
  </mergeCells>
  <hyperlinks>
    <hyperlink r:id="rId1" ref="G13"/>
    <hyperlink r:id="rId2" ref="G14"/>
    <hyperlink r:id="rId3" ref="G16"/>
    <hyperlink r:id="rId4" ref="L16"/>
    <hyperlink r:id="rId5" ref="G17"/>
    <hyperlink r:id="rId6" ref="G18"/>
    <hyperlink r:id="rId7" ref="L18"/>
    <hyperlink r:id="rId8" ref="G20"/>
    <hyperlink r:id="rId9" ref="L20"/>
    <hyperlink r:id="rId10" ref="G21"/>
    <hyperlink r:id="rId11" ref="L21"/>
    <hyperlink r:id="rId12" ref="G22"/>
    <hyperlink r:id="rId13" ref="L22"/>
    <hyperlink r:id="rId14" ref="G23"/>
    <hyperlink r:id="rId15" ref="L23"/>
    <hyperlink r:id="rId16" ref="G24"/>
    <hyperlink r:id="rId17" ref="L24"/>
    <hyperlink r:id="rId18" ref="G25"/>
    <hyperlink r:id="rId19" ref="L25"/>
    <hyperlink r:id="rId20" ref="G26"/>
    <hyperlink r:id="rId21" ref="G27"/>
  </hyperlinks>
  <drawing r:id="rId2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58.5"/>
    <col customWidth="1" min="3" max="3" width="74.88"/>
    <col customWidth="1" min="6" max="6" width="44.38"/>
    <col customWidth="1" min="7" max="7" width="46.13"/>
    <col customWidth="1" min="10" max="10" width="72.38"/>
  </cols>
  <sheetData>
    <row r="1">
      <c r="A1" s="28" t="s">
        <v>0</v>
      </c>
      <c r="B1" s="29"/>
      <c r="E1" s="30"/>
      <c r="F1" s="30"/>
      <c r="G1" s="30"/>
      <c r="H1" s="30"/>
      <c r="I1" s="6"/>
      <c r="J1" s="30"/>
    </row>
    <row r="2">
      <c r="A2" s="30"/>
      <c r="B2" s="31"/>
      <c r="C2" s="31"/>
      <c r="D2" s="31"/>
      <c r="E2" s="30"/>
      <c r="F2" s="30"/>
      <c r="G2" s="30"/>
      <c r="H2" s="30"/>
      <c r="I2" s="6"/>
      <c r="J2" s="30"/>
    </row>
    <row r="3">
      <c r="A3" s="37" t="s">
        <v>133</v>
      </c>
      <c r="B3" s="33" t="s">
        <v>4</v>
      </c>
      <c r="C3" s="11"/>
      <c r="D3" s="12"/>
      <c r="E3" s="34"/>
      <c r="F3" s="34"/>
      <c r="G3" s="34"/>
      <c r="H3" s="35"/>
      <c r="I3" s="36"/>
      <c r="J3" s="36"/>
    </row>
    <row r="4">
      <c r="A4" s="37" t="s">
        <v>44</v>
      </c>
      <c r="B4" s="38" t="s">
        <v>36</v>
      </c>
      <c r="C4" s="11"/>
      <c r="D4" s="12"/>
      <c r="E4" s="34"/>
      <c r="F4" s="34"/>
      <c r="G4" s="34"/>
      <c r="H4" s="35"/>
      <c r="I4" s="36"/>
      <c r="J4" s="36"/>
    </row>
    <row r="5">
      <c r="A5" s="37" t="s">
        <v>46</v>
      </c>
      <c r="B5" s="33" t="s">
        <v>323</v>
      </c>
      <c r="C5" s="11"/>
      <c r="D5" s="12"/>
      <c r="E5" s="34"/>
      <c r="F5" s="34"/>
      <c r="G5" s="34"/>
      <c r="H5" s="35"/>
      <c r="I5" s="36"/>
      <c r="J5" s="36"/>
    </row>
    <row r="6">
      <c r="A6" s="39" t="s">
        <v>48</v>
      </c>
      <c r="B6" s="39">
        <v>7.0</v>
      </c>
      <c r="C6" s="40" t="s">
        <v>49</v>
      </c>
      <c r="D6" s="40">
        <v>0.0</v>
      </c>
      <c r="E6" s="35"/>
      <c r="F6" s="35"/>
      <c r="G6" s="35"/>
      <c r="H6" s="35"/>
      <c r="I6" s="36"/>
      <c r="J6" s="36"/>
    </row>
    <row r="7">
      <c r="A7" s="39" t="s">
        <v>50</v>
      </c>
      <c r="B7" s="39">
        <v>0.0</v>
      </c>
      <c r="C7" s="41" t="s">
        <v>51</v>
      </c>
      <c r="D7" s="40">
        <v>7.0</v>
      </c>
      <c r="E7" s="35"/>
      <c r="F7" s="35"/>
      <c r="G7" s="35"/>
      <c r="H7" s="35"/>
      <c r="I7" s="36"/>
      <c r="J7" s="36"/>
    </row>
    <row r="8">
      <c r="A8" s="42"/>
      <c r="B8" s="43"/>
      <c r="C8" s="43"/>
      <c r="D8" s="43"/>
      <c r="E8" s="35"/>
      <c r="F8" s="35"/>
      <c r="G8" s="35"/>
      <c r="H8" s="35"/>
      <c r="I8" s="44"/>
      <c r="J8" s="44"/>
    </row>
    <row r="9">
      <c r="A9" s="45" t="s">
        <v>52</v>
      </c>
      <c r="B9" s="46" t="s">
        <v>53</v>
      </c>
      <c r="C9" s="45" t="s">
        <v>54</v>
      </c>
      <c r="D9" s="47" t="s">
        <v>55</v>
      </c>
      <c r="G9" s="45" t="s">
        <v>56</v>
      </c>
      <c r="H9" s="48" t="s">
        <v>57</v>
      </c>
      <c r="I9" s="48" t="s">
        <v>58</v>
      </c>
      <c r="J9" s="48" t="s">
        <v>59</v>
      </c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</row>
    <row r="11">
      <c r="A11" s="51"/>
      <c r="B11" s="43"/>
      <c r="C11" s="43"/>
      <c r="D11" s="43"/>
      <c r="E11" s="43"/>
      <c r="F11" s="43"/>
      <c r="G11" s="43"/>
      <c r="H11" s="43"/>
      <c r="I11" s="43"/>
      <c r="J11" s="68"/>
    </row>
    <row r="12">
      <c r="A12" s="52" t="s">
        <v>324</v>
      </c>
      <c r="B12" s="11"/>
      <c r="C12" s="11"/>
      <c r="D12" s="11"/>
      <c r="E12" s="11"/>
      <c r="F12" s="11"/>
      <c r="G12" s="11"/>
      <c r="H12" s="11"/>
      <c r="I12" s="11"/>
      <c r="J12" s="12"/>
    </row>
    <row r="13">
      <c r="A13" s="54" t="s">
        <v>325</v>
      </c>
      <c r="B13" s="54" t="s">
        <v>326</v>
      </c>
      <c r="C13" s="54" t="s">
        <v>327</v>
      </c>
      <c r="D13" s="61" t="s">
        <v>328</v>
      </c>
      <c r="E13" s="62"/>
      <c r="F13" s="62"/>
      <c r="G13" s="70" t="s">
        <v>329</v>
      </c>
      <c r="H13" s="57">
        <v>46116.0</v>
      </c>
      <c r="I13" s="53" t="s">
        <v>48</v>
      </c>
      <c r="J13" s="53" t="s">
        <v>330</v>
      </c>
    </row>
    <row r="14">
      <c r="A14" s="58" t="s">
        <v>331</v>
      </c>
      <c r="B14" s="54" t="s">
        <v>332</v>
      </c>
      <c r="C14" s="58" t="s">
        <v>333</v>
      </c>
      <c r="D14" s="61" t="s">
        <v>334</v>
      </c>
      <c r="E14" s="62"/>
      <c r="F14" s="62"/>
      <c r="G14" s="70" t="s">
        <v>335</v>
      </c>
      <c r="H14" s="57">
        <v>46116.0</v>
      </c>
      <c r="I14" s="54" t="s">
        <v>48</v>
      </c>
      <c r="J14" s="58" t="s">
        <v>336</v>
      </c>
    </row>
    <row r="15">
      <c r="A15" s="52" t="s">
        <v>337</v>
      </c>
      <c r="B15" s="11"/>
      <c r="C15" s="11"/>
      <c r="D15" s="11"/>
      <c r="E15" s="11"/>
      <c r="F15" s="11"/>
      <c r="G15" s="11"/>
      <c r="H15" s="11"/>
      <c r="I15" s="11"/>
      <c r="J15" s="12"/>
    </row>
    <row r="16">
      <c r="A16" s="58" t="s">
        <v>338</v>
      </c>
      <c r="B16" s="54" t="s">
        <v>339</v>
      </c>
      <c r="C16" s="58" t="s">
        <v>340</v>
      </c>
      <c r="D16" s="61" t="s">
        <v>341</v>
      </c>
      <c r="E16" s="62"/>
      <c r="F16" s="62"/>
      <c r="G16" s="70" t="s">
        <v>342</v>
      </c>
      <c r="H16" s="57">
        <v>46116.0</v>
      </c>
      <c r="I16" s="53" t="s">
        <v>48</v>
      </c>
      <c r="J16" s="53" t="s">
        <v>343</v>
      </c>
    </row>
    <row r="17">
      <c r="A17" s="58" t="s">
        <v>344</v>
      </c>
      <c r="B17" s="58" t="s">
        <v>345</v>
      </c>
      <c r="C17" s="58" t="s">
        <v>346</v>
      </c>
      <c r="D17" s="65" t="s">
        <v>347</v>
      </c>
      <c r="E17" s="62"/>
      <c r="F17" s="62"/>
      <c r="G17" s="70" t="s">
        <v>348</v>
      </c>
      <c r="H17" s="57">
        <v>46136.0</v>
      </c>
      <c r="I17" s="53" t="s">
        <v>48</v>
      </c>
      <c r="J17" s="53" t="s">
        <v>349</v>
      </c>
    </row>
    <row r="18">
      <c r="A18" s="52" t="s">
        <v>350</v>
      </c>
      <c r="B18" s="11"/>
      <c r="C18" s="11"/>
      <c r="D18" s="11"/>
      <c r="E18" s="11"/>
      <c r="F18" s="11"/>
      <c r="G18" s="11"/>
      <c r="H18" s="11"/>
      <c r="I18" s="11"/>
      <c r="J18" s="12"/>
    </row>
    <row r="19">
      <c r="A19" s="58" t="s">
        <v>351</v>
      </c>
      <c r="B19" s="58" t="s">
        <v>352</v>
      </c>
      <c r="C19" s="58" t="s">
        <v>353</v>
      </c>
      <c r="D19" s="65" t="s">
        <v>354</v>
      </c>
      <c r="E19" s="62"/>
      <c r="F19" s="62"/>
      <c r="G19" s="70" t="s">
        <v>355</v>
      </c>
      <c r="H19" s="57">
        <v>46136.0</v>
      </c>
      <c r="I19" s="54" t="s">
        <v>48</v>
      </c>
      <c r="J19" s="58" t="s">
        <v>356</v>
      </c>
    </row>
    <row r="20">
      <c r="A20" s="58" t="s">
        <v>357</v>
      </c>
      <c r="B20" s="54" t="s">
        <v>358</v>
      </c>
      <c r="C20" s="58" t="s">
        <v>359</v>
      </c>
      <c r="D20" s="61" t="s">
        <v>360</v>
      </c>
      <c r="E20" s="62"/>
      <c r="F20" s="62"/>
      <c r="G20" s="60" t="s">
        <v>361</v>
      </c>
      <c r="H20" s="57">
        <v>46136.0</v>
      </c>
      <c r="I20" s="54" t="s">
        <v>48</v>
      </c>
      <c r="J20" s="58" t="s">
        <v>362</v>
      </c>
    </row>
    <row r="21">
      <c r="A21" s="52" t="s">
        <v>363</v>
      </c>
      <c r="B21" s="11"/>
      <c r="C21" s="11"/>
      <c r="D21" s="11"/>
      <c r="E21" s="11"/>
      <c r="F21" s="11"/>
      <c r="G21" s="11"/>
      <c r="H21" s="11"/>
      <c r="I21" s="11"/>
      <c r="J21" s="12"/>
    </row>
    <row r="22">
      <c r="A22" s="58" t="s">
        <v>364</v>
      </c>
      <c r="B22" s="58" t="s">
        <v>365</v>
      </c>
      <c r="C22" s="58" t="s">
        <v>366</v>
      </c>
      <c r="D22" s="65" t="s">
        <v>367</v>
      </c>
      <c r="E22" s="62"/>
      <c r="F22" s="62"/>
      <c r="G22" s="70" t="s">
        <v>368</v>
      </c>
      <c r="H22" s="57">
        <v>46136.0</v>
      </c>
      <c r="I22" s="54" t="s">
        <v>48</v>
      </c>
      <c r="J22" s="58" t="s">
        <v>369</v>
      </c>
    </row>
  </sheetData>
  <mergeCells count="16">
    <mergeCell ref="B1:D2"/>
    <mergeCell ref="B3:D3"/>
    <mergeCell ref="B4:D4"/>
    <mergeCell ref="B5:D5"/>
    <mergeCell ref="A9:A10"/>
    <mergeCell ref="B9:B10"/>
    <mergeCell ref="C9:C10"/>
    <mergeCell ref="A18:J18"/>
    <mergeCell ref="A21:J21"/>
    <mergeCell ref="D9:F10"/>
    <mergeCell ref="G9:G10"/>
    <mergeCell ref="H9:H10"/>
    <mergeCell ref="I9:I10"/>
    <mergeCell ref="J9:J10"/>
    <mergeCell ref="A12:J12"/>
    <mergeCell ref="A15:J15"/>
  </mergeCells>
  <hyperlinks>
    <hyperlink r:id="rId1" ref="G13"/>
    <hyperlink r:id="rId2" ref="G14"/>
    <hyperlink r:id="rId3" ref="G16"/>
    <hyperlink r:id="rId4" ref="G17"/>
    <hyperlink r:id="rId5" ref="G19"/>
    <hyperlink r:id="rId6" ref="G20"/>
    <hyperlink r:id="rId7" ref="G22"/>
  </hyperlinks>
  <drawing r:id="rId8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3.0"/>
    <col customWidth="1" min="3" max="3" width="45.75"/>
    <col customWidth="1" min="4" max="4" width="35.13"/>
    <col customWidth="1" min="7" max="7" width="47.5"/>
    <col customWidth="1" min="10" max="10" width="26.0"/>
  </cols>
  <sheetData>
    <row r="1">
      <c r="A1" s="71" t="s">
        <v>0</v>
      </c>
      <c r="B1" s="72"/>
      <c r="E1" s="72"/>
      <c r="F1" s="72"/>
      <c r="G1" s="72"/>
      <c r="H1" s="72"/>
      <c r="I1" s="72"/>
      <c r="J1" s="72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>
      <c r="A2" s="72"/>
      <c r="B2" s="31"/>
      <c r="C2" s="31"/>
      <c r="D2" s="31"/>
      <c r="E2" s="72"/>
      <c r="F2" s="72"/>
      <c r="G2" s="72"/>
      <c r="H2" s="72"/>
      <c r="I2" s="72"/>
      <c r="J2" s="72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>
      <c r="A3" s="74" t="s">
        <v>133</v>
      </c>
      <c r="B3" s="75" t="s">
        <v>4</v>
      </c>
      <c r="C3" s="11"/>
      <c r="D3" s="12"/>
      <c r="E3" s="72"/>
      <c r="F3" s="72"/>
      <c r="G3" s="72"/>
      <c r="H3" s="72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>
      <c r="A4" s="74" t="s">
        <v>44</v>
      </c>
      <c r="B4" s="76" t="s">
        <v>28</v>
      </c>
      <c r="C4" s="11"/>
      <c r="D4" s="12"/>
      <c r="E4" s="72"/>
      <c r="F4" s="72"/>
      <c r="G4" s="72"/>
      <c r="H4" s="72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>
      <c r="A5" s="74" t="s">
        <v>46</v>
      </c>
      <c r="B5" s="75" t="s">
        <v>370</v>
      </c>
      <c r="C5" s="11"/>
      <c r="D5" s="12"/>
      <c r="E5" s="72"/>
      <c r="F5" s="72"/>
      <c r="G5" s="72"/>
      <c r="H5" s="72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>
      <c r="A6" s="77" t="s">
        <v>48</v>
      </c>
      <c r="B6" s="77">
        <v>9.0</v>
      </c>
      <c r="C6" s="78" t="s">
        <v>49</v>
      </c>
      <c r="D6" s="78">
        <v>0.0</v>
      </c>
      <c r="E6" s="72"/>
      <c r="F6" s="72"/>
      <c r="G6" s="72"/>
      <c r="H6" s="72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>
      <c r="A7" s="77" t="s">
        <v>50</v>
      </c>
      <c r="B7" s="77">
        <v>0.0</v>
      </c>
      <c r="C7" s="79" t="s">
        <v>51</v>
      </c>
      <c r="D7" s="78">
        <v>9.0</v>
      </c>
      <c r="E7" s="72"/>
      <c r="F7" s="72"/>
      <c r="G7" s="72"/>
      <c r="H7" s="72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>
      <c r="A8" s="80"/>
      <c r="B8" s="62"/>
      <c r="C8" s="62"/>
      <c r="D8" s="62"/>
      <c r="E8" s="72"/>
      <c r="F8" s="72"/>
      <c r="G8" s="72"/>
      <c r="H8" s="72"/>
      <c r="I8" s="81"/>
      <c r="J8" s="81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>
      <c r="A9" s="82" t="s">
        <v>52</v>
      </c>
      <c r="B9" s="83" t="s">
        <v>53</v>
      </c>
      <c r="C9" s="82" t="s">
        <v>54</v>
      </c>
      <c r="D9" s="84" t="s">
        <v>55</v>
      </c>
      <c r="G9" s="82" t="s">
        <v>56</v>
      </c>
      <c r="H9" s="85" t="s">
        <v>57</v>
      </c>
      <c r="I9" s="85" t="s">
        <v>58</v>
      </c>
      <c r="J9" s="85" t="s">
        <v>59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>
      <c r="A11" s="86"/>
      <c r="B11" s="62"/>
      <c r="C11" s="62"/>
      <c r="D11" s="62"/>
      <c r="E11" s="62"/>
      <c r="F11" s="62"/>
      <c r="G11" s="62"/>
      <c r="H11" s="62"/>
      <c r="I11" s="62"/>
      <c r="J11" s="87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>
      <c r="A12" s="88" t="s">
        <v>371</v>
      </c>
      <c r="B12" s="11"/>
      <c r="C12" s="11"/>
      <c r="D12" s="11"/>
      <c r="E12" s="11"/>
      <c r="F12" s="11"/>
      <c r="G12" s="11"/>
      <c r="H12" s="11"/>
      <c r="I12" s="11"/>
      <c r="J12" s="12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>
      <c r="A13" s="89" t="s">
        <v>372</v>
      </c>
      <c r="B13" s="89" t="s">
        <v>373</v>
      </c>
      <c r="C13" s="90" t="s">
        <v>374</v>
      </c>
      <c r="D13" s="91" t="s">
        <v>375</v>
      </c>
      <c r="E13" s="62"/>
      <c r="F13" s="62"/>
      <c r="G13" s="60" t="s">
        <v>376</v>
      </c>
      <c r="H13" s="57">
        <v>46121.0</v>
      </c>
      <c r="I13" s="89" t="s">
        <v>48</v>
      </c>
      <c r="J13" s="89" t="s">
        <v>373</v>
      </c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>
      <c r="A14" s="58" t="s">
        <v>377</v>
      </c>
      <c r="B14" s="89" t="s">
        <v>378</v>
      </c>
      <c r="C14" s="89" t="s">
        <v>379</v>
      </c>
      <c r="D14" s="91" t="s">
        <v>380</v>
      </c>
      <c r="E14" s="62"/>
      <c r="F14" s="62"/>
      <c r="G14" s="60" t="s">
        <v>381</v>
      </c>
      <c r="H14" s="57">
        <v>46121.0</v>
      </c>
      <c r="I14" s="89" t="s">
        <v>48</v>
      </c>
      <c r="J14" s="89" t="s">
        <v>382</v>
      </c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>
      <c r="A15" s="88" t="s">
        <v>383</v>
      </c>
      <c r="B15" s="11"/>
      <c r="C15" s="11"/>
      <c r="D15" s="11"/>
      <c r="E15" s="11"/>
      <c r="F15" s="11"/>
      <c r="G15" s="11"/>
      <c r="H15" s="11"/>
      <c r="I15" s="11"/>
      <c r="J15" s="12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>
      <c r="A16" s="58" t="s">
        <v>384</v>
      </c>
      <c r="B16" s="89" t="s">
        <v>385</v>
      </c>
      <c r="C16" s="89" t="s">
        <v>386</v>
      </c>
      <c r="D16" s="91" t="s">
        <v>387</v>
      </c>
      <c r="E16" s="62"/>
      <c r="F16" s="62"/>
      <c r="G16" s="60" t="s">
        <v>388</v>
      </c>
      <c r="H16" s="57">
        <v>46121.0</v>
      </c>
      <c r="I16" s="89" t="s">
        <v>48</v>
      </c>
      <c r="J16" s="89" t="s">
        <v>389</v>
      </c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>
      <c r="A17" s="58" t="s">
        <v>390</v>
      </c>
      <c r="B17" s="89" t="s">
        <v>391</v>
      </c>
      <c r="C17" s="89" t="s">
        <v>392</v>
      </c>
      <c r="D17" s="91" t="s">
        <v>393</v>
      </c>
      <c r="E17" s="62"/>
      <c r="F17" s="62"/>
      <c r="G17" s="60" t="s">
        <v>388</v>
      </c>
      <c r="H17" s="57">
        <v>46121.0</v>
      </c>
      <c r="I17" s="89" t="s">
        <v>48</v>
      </c>
      <c r="J17" s="89" t="s">
        <v>394</v>
      </c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>
      <c r="A18" s="58" t="s">
        <v>395</v>
      </c>
      <c r="B18" s="89" t="s">
        <v>396</v>
      </c>
      <c r="C18" s="89" t="s">
        <v>397</v>
      </c>
      <c r="D18" s="91" t="s">
        <v>398</v>
      </c>
      <c r="E18" s="62"/>
      <c r="F18" s="62"/>
      <c r="G18" s="60" t="s">
        <v>399</v>
      </c>
      <c r="H18" s="57">
        <v>46121.0</v>
      </c>
      <c r="I18" s="89" t="s">
        <v>48</v>
      </c>
      <c r="J18" s="89" t="s">
        <v>400</v>
      </c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>
      <c r="A19" s="58" t="s">
        <v>401</v>
      </c>
      <c r="B19" s="89" t="s">
        <v>402</v>
      </c>
      <c r="C19" s="89" t="s">
        <v>403</v>
      </c>
      <c r="D19" s="91" t="s">
        <v>404</v>
      </c>
      <c r="E19" s="62"/>
      <c r="F19" s="62"/>
      <c r="G19" s="60" t="s">
        <v>405</v>
      </c>
      <c r="H19" s="57">
        <v>46121.0</v>
      </c>
      <c r="I19" s="89" t="s">
        <v>48</v>
      </c>
      <c r="J19" s="89" t="s">
        <v>406</v>
      </c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>
      <c r="A20" s="58" t="s">
        <v>407</v>
      </c>
      <c r="B20" s="89" t="s">
        <v>408</v>
      </c>
      <c r="C20" s="89" t="s">
        <v>409</v>
      </c>
      <c r="D20" s="91" t="s">
        <v>410</v>
      </c>
      <c r="E20" s="62"/>
      <c r="F20" s="62"/>
      <c r="G20" s="60" t="s">
        <v>411</v>
      </c>
      <c r="H20" s="57">
        <v>46121.0</v>
      </c>
      <c r="I20" s="89" t="s">
        <v>48</v>
      </c>
      <c r="J20" s="89" t="s">
        <v>412</v>
      </c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>
      <c r="A21" s="88" t="s">
        <v>413</v>
      </c>
      <c r="B21" s="11"/>
      <c r="C21" s="11"/>
      <c r="D21" s="11"/>
      <c r="E21" s="11"/>
      <c r="F21" s="11"/>
      <c r="G21" s="11"/>
      <c r="H21" s="11"/>
      <c r="I21" s="11"/>
      <c r="J21" s="12"/>
    </row>
    <row r="22">
      <c r="A22" s="89" t="s">
        <v>414</v>
      </c>
      <c r="B22" s="89" t="s">
        <v>415</v>
      </c>
      <c r="C22" s="89" t="s">
        <v>416</v>
      </c>
      <c r="D22" s="91" t="s">
        <v>417</v>
      </c>
      <c r="E22" s="62"/>
      <c r="F22" s="62"/>
      <c r="G22" s="60" t="s">
        <v>418</v>
      </c>
      <c r="H22" s="57">
        <v>46121.0</v>
      </c>
      <c r="I22" s="89" t="s">
        <v>48</v>
      </c>
      <c r="J22" s="89" t="s">
        <v>419</v>
      </c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>
      <c r="A23" s="89" t="s">
        <v>420</v>
      </c>
      <c r="B23" s="89" t="s">
        <v>421</v>
      </c>
      <c r="C23" s="89" t="s">
        <v>422</v>
      </c>
      <c r="D23" s="91" t="s">
        <v>423</v>
      </c>
      <c r="E23" s="62"/>
      <c r="F23" s="62"/>
      <c r="G23" s="60" t="s">
        <v>424</v>
      </c>
      <c r="H23" s="57">
        <v>46121.0</v>
      </c>
      <c r="I23" s="89" t="s">
        <v>48</v>
      </c>
      <c r="J23" s="89" t="s">
        <v>425</v>
      </c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>
      <c r="A26" s="92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  <row r="170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</row>
    <row r="17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</row>
    <row r="172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</row>
    <row r="173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</row>
    <row r="174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</row>
    <row r="17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</row>
    <row r="176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</row>
    <row r="177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</row>
    <row r="178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</row>
    <row r="179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</row>
    <row r="180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</row>
    <row r="18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</row>
    <row r="182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</row>
    <row r="183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</row>
    <row r="184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</row>
    <row r="18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</row>
    <row r="186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</row>
    <row r="187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</row>
    <row r="188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</row>
    <row r="189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</row>
    <row r="190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</row>
    <row r="19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</row>
    <row r="192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</row>
    <row r="193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</row>
    <row r="194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</row>
    <row r="19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</row>
    <row r="196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</row>
    <row r="197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</row>
    <row r="198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</row>
    <row r="199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</row>
    <row r="200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</row>
    <row r="20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</row>
    <row r="202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</row>
    <row r="203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</row>
    <row r="204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</row>
    <row r="20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</row>
    <row r="206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</row>
    <row r="207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</row>
    <row r="208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</row>
    <row r="209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</row>
    <row r="210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</row>
    <row r="21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</row>
    <row r="212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</row>
    <row r="213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</row>
    <row r="214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</row>
    <row r="21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</row>
    <row r="216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</row>
    <row r="217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</row>
    <row r="218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</row>
    <row r="219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</row>
    <row r="220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</row>
    <row r="22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</row>
    <row r="222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</row>
    <row r="223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</row>
    <row r="224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</row>
    <row r="2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</row>
    <row r="226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</row>
    <row r="227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</row>
    <row r="228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</row>
    <row r="229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</row>
    <row r="230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</row>
    <row r="23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</row>
    <row r="232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</row>
    <row r="233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</row>
    <row r="234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</row>
    <row r="23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</row>
    <row r="236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</row>
    <row r="237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</row>
    <row r="238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</row>
    <row r="239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</row>
    <row r="240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</row>
    <row r="241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</row>
    <row r="242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</row>
    <row r="243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</row>
    <row r="244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</row>
    <row r="24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</row>
    <row r="246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</row>
    <row r="247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</row>
    <row r="248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</row>
    <row r="249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</row>
    <row r="250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</row>
    <row r="251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</row>
    <row r="252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</row>
    <row r="253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</row>
    <row r="254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</row>
    <row r="25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</row>
    <row r="256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</row>
    <row r="257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</row>
    <row r="258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</row>
    <row r="259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</row>
    <row r="260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</row>
    <row r="261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</row>
    <row r="262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</row>
    <row r="263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</row>
    <row r="264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</row>
    <row r="26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</row>
    <row r="266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</row>
    <row r="267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</row>
    <row r="268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</row>
    <row r="269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</row>
    <row r="270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</row>
    <row r="271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</row>
    <row r="272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</row>
    <row r="273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</row>
    <row r="274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</row>
    <row r="27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</row>
    <row r="276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</row>
    <row r="277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</row>
    <row r="278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</row>
    <row r="279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</row>
    <row r="280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</row>
    <row r="281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</row>
    <row r="282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</row>
    <row r="283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</row>
    <row r="284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</row>
    <row r="28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</row>
    <row r="286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</row>
    <row r="287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</row>
    <row r="288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</row>
    <row r="289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</row>
    <row r="290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</row>
    <row r="291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</row>
    <row r="292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</row>
    <row r="293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</row>
    <row r="294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</row>
    <row r="29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</row>
    <row r="296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</row>
    <row r="297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</row>
    <row r="298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</row>
    <row r="299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</row>
    <row r="300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</row>
    <row r="301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</row>
    <row r="302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</row>
    <row r="303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</row>
    <row r="304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</row>
    <row r="30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</row>
    <row r="306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</row>
    <row r="307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</row>
    <row r="308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</row>
    <row r="309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</row>
    <row r="310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</row>
    <row r="311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</row>
    <row r="312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</row>
    <row r="313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</row>
    <row r="314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</row>
    <row r="31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</row>
    <row r="316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</row>
    <row r="317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</row>
    <row r="318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</row>
    <row r="319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</row>
    <row r="320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</row>
    <row r="321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</row>
    <row r="322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</row>
    <row r="323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</row>
    <row r="324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</row>
    <row r="3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</row>
    <row r="326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</row>
    <row r="327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</row>
    <row r="328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</row>
    <row r="329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</row>
    <row r="330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</row>
    <row r="331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</row>
    <row r="332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</row>
    <row r="333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</row>
    <row r="334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</row>
    <row r="33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</row>
    <row r="336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</row>
    <row r="337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</row>
    <row r="338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</row>
    <row r="339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</row>
    <row r="340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</row>
    <row r="341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</row>
    <row r="342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</row>
    <row r="343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</row>
    <row r="344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</row>
    <row r="34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</row>
    <row r="346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</row>
    <row r="347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</row>
    <row r="348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</row>
    <row r="349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</row>
    <row r="350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</row>
    <row r="351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</row>
    <row r="352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</row>
    <row r="353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</row>
    <row r="354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</row>
    <row r="35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</row>
    <row r="356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</row>
    <row r="357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</row>
    <row r="358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</row>
    <row r="359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</row>
    <row r="360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</row>
    <row r="361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</row>
    <row r="362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</row>
    <row r="363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</row>
    <row r="364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</row>
    <row r="36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</row>
    <row r="366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</row>
    <row r="367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</row>
    <row r="368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</row>
    <row r="369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</row>
    <row r="370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</row>
    <row r="371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</row>
    <row r="372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</row>
    <row r="373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</row>
    <row r="374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</row>
    <row r="37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</row>
    <row r="376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</row>
    <row r="377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</row>
    <row r="378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</row>
    <row r="379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</row>
    <row r="380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</row>
    <row r="381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</row>
    <row r="382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</row>
    <row r="383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</row>
    <row r="384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</row>
    <row r="38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</row>
    <row r="386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</row>
    <row r="387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</row>
    <row r="388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</row>
    <row r="389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</row>
    <row r="390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</row>
    <row r="391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</row>
    <row r="392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</row>
    <row r="393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</row>
    <row r="394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</row>
    <row r="39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</row>
    <row r="396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</row>
    <row r="397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</row>
    <row r="398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</row>
    <row r="399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</row>
    <row r="400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</row>
    <row r="401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</row>
    <row r="402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</row>
    <row r="403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</row>
    <row r="404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</row>
    <row r="40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</row>
    <row r="406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</row>
    <row r="407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</row>
    <row r="408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</row>
    <row r="409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</row>
    <row r="410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</row>
    <row r="411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</row>
    <row r="412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</row>
    <row r="413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</row>
    <row r="414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</row>
    <row r="41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</row>
    <row r="416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</row>
    <row r="417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</row>
    <row r="418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</row>
    <row r="419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</row>
    <row r="420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</row>
    <row r="421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</row>
    <row r="422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</row>
    <row r="423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</row>
    <row r="424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</row>
    <row r="4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</row>
    <row r="426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</row>
    <row r="427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</row>
    <row r="428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</row>
    <row r="429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</row>
    <row r="430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</row>
    <row r="431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</row>
    <row r="432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</row>
    <row r="433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</row>
    <row r="434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</row>
    <row r="43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</row>
    <row r="436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</row>
    <row r="437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</row>
    <row r="438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</row>
    <row r="439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</row>
    <row r="440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</row>
    <row r="441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</row>
    <row r="442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</row>
    <row r="443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</row>
    <row r="444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</row>
    <row r="44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</row>
    <row r="446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</row>
    <row r="447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</row>
    <row r="448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</row>
    <row r="449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</row>
    <row r="450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</row>
    <row r="451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</row>
    <row r="452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</row>
    <row r="453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</row>
    <row r="454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</row>
    <row r="45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</row>
    <row r="456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</row>
    <row r="457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</row>
    <row r="458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</row>
    <row r="459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</row>
    <row r="460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</row>
    <row r="461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</row>
    <row r="462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</row>
    <row r="463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</row>
    <row r="464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</row>
    <row r="46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</row>
    <row r="466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</row>
    <row r="467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</row>
    <row r="468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</row>
    <row r="469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</row>
    <row r="470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</row>
    <row r="471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</row>
    <row r="472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</row>
    <row r="473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</row>
    <row r="474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</row>
    <row r="47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</row>
    <row r="476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</row>
    <row r="477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</row>
    <row r="478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</row>
    <row r="479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</row>
    <row r="480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</row>
    <row r="481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</row>
    <row r="482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</row>
    <row r="483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</row>
    <row r="484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</row>
    <row r="48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</row>
    <row r="486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</row>
    <row r="487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</row>
    <row r="488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</row>
    <row r="489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</row>
    <row r="490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</row>
    <row r="491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</row>
    <row r="492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</row>
    <row r="493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</row>
    <row r="494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</row>
    <row r="49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</row>
    <row r="496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</row>
    <row r="497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</row>
    <row r="498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</row>
    <row r="499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</row>
    <row r="500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</row>
    <row r="501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</row>
    <row r="502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</row>
    <row r="503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</row>
    <row r="504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</row>
    <row r="50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</row>
    <row r="506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</row>
    <row r="507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</row>
    <row r="508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</row>
    <row r="509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</row>
    <row r="510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</row>
    <row r="511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</row>
    <row r="512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</row>
    <row r="513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</row>
    <row r="514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</row>
    <row r="51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</row>
    <row r="516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</row>
    <row r="517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</row>
    <row r="518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</row>
    <row r="519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</row>
    <row r="520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</row>
    <row r="521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</row>
    <row r="522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</row>
    <row r="523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</row>
    <row r="524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</row>
    <row r="5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</row>
    <row r="526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</row>
    <row r="527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</row>
    <row r="528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</row>
    <row r="529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</row>
    <row r="530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</row>
    <row r="531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</row>
    <row r="532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</row>
    <row r="533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</row>
    <row r="534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</row>
    <row r="53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</row>
    <row r="536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</row>
    <row r="537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</row>
    <row r="538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</row>
    <row r="539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</row>
    <row r="540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</row>
    <row r="541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</row>
    <row r="542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</row>
    <row r="543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</row>
    <row r="544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</row>
    <row r="54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</row>
    <row r="546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</row>
    <row r="547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</row>
    <row r="548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</row>
    <row r="549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</row>
    <row r="550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</row>
    <row r="551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</row>
    <row r="552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</row>
    <row r="553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</row>
    <row r="554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</row>
    <row r="55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</row>
    <row r="556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</row>
    <row r="557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</row>
    <row r="558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</row>
    <row r="559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</row>
    <row r="560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</row>
    <row r="561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</row>
    <row r="562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</row>
    <row r="563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</row>
    <row r="564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</row>
    <row r="56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</row>
    <row r="566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</row>
    <row r="567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</row>
    <row r="568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</row>
    <row r="569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</row>
    <row r="570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</row>
    <row r="571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</row>
    <row r="572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</row>
    <row r="573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</row>
    <row r="574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</row>
    <row r="57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</row>
    <row r="576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</row>
    <row r="577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</row>
    <row r="578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</row>
    <row r="579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</row>
    <row r="580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</row>
    <row r="581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</row>
    <row r="582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</row>
    <row r="583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</row>
    <row r="584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</row>
    <row r="58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</row>
    <row r="586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</row>
    <row r="587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</row>
    <row r="588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</row>
    <row r="589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</row>
    <row r="590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</row>
    <row r="591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</row>
    <row r="592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</row>
    <row r="593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</row>
    <row r="594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</row>
    <row r="59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</row>
    <row r="596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</row>
    <row r="597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</row>
    <row r="598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</row>
    <row r="599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</row>
    <row r="600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</row>
    <row r="601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</row>
    <row r="602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</row>
    <row r="603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</row>
    <row r="604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</row>
    <row r="60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</row>
    <row r="606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</row>
    <row r="607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</row>
    <row r="608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</row>
    <row r="609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</row>
    <row r="610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</row>
    <row r="611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</row>
    <row r="612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</row>
    <row r="613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</row>
    <row r="614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</row>
    <row r="61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</row>
    <row r="616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</row>
    <row r="617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</row>
    <row r="618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</row>
    <row r="619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</row>
    <row r="620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</row>
    <row r="621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</row>
    <row r="622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</row>
    <row r="623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</row>
    <row r="624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</row>
    <row r="6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</row>
    <row r="626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</row>
    <row r="627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</row>
    <row r="628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</row>
    <row r="629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</row>
    <row r="630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</row>
    <row r="631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</row>
    <row r="632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</row>
    <row r="633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</row>
    <row r="634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</row>
    <row r="63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</row>
    <row r="636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</row>
    <row r="637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</row>
    <row r="638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</row>
    <row r="639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</row>
    <row r="640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</row>
    <row r="641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</row>
    <row r="642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</row>
    <row r="643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</row>
    <row r="644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</row>
    <row r="64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</row>
    <row r="646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</row>
    <row r="647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</row>
    <row r="648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</row>
    <row r="649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</row>
    <row r="650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</row>
    <row r="651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</row>
    <row r="652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</row>
    <row r="653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</row>
    <row r="654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</row>
    <row r="65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</row>
    <row r="656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</row>
    <row r="657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</row>
    <row r="658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</row>
    <row r="659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</row>
    <row r="660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</row>
    <row r="661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</row>
    <row r="662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</row>
    <row r="663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</row>
    <row r="664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</row>
    <row r="66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</row>
    <row r="666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</row>
    <row r="667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</row>
    <row r="668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</row>
    <row r="669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</row>
    <row r="670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</row>
    <row r="671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</row>
    <row r="672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</row>
    <row r="673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</row>
    <row r="674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</row>
    <row r="67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</row>
    <row r="676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</row>
    <row r="677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</row>
    <row r="678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</row>
    <row r="679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</row>
    <row r="680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</row>
    <row r="681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</row>
    <row r="682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</row>
    <row r="683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</row>
    <row r="684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</row>
    <row r="68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</row>
    <row r="686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</row>
    <row r="687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</row>
    <row r="688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</row>
    <row r="689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</row>
    <row r="690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</row>
    <row r="691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</row>
    <row r="692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</row>
    <row r="693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</row>
    <row r="694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</row>
    <row r="69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</row>
    <row r="696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</row>
    <row r="697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</row>
    <row r="698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</row>
    <row r="699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</row>
    <row r="700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</row>
    <row r="701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</row>
    <row r="702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</row>
    <row r="703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</row>
    <row r="704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</row>
    <row r="70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</row>
    <row r="706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</row>
    <row r="707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</row>
    <row r="708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</row>
    <row r="709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</row>
    <row r="710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</row>
    <row r="711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</row>
    <row r="712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</row>
    <row r="713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</row>
    <row r="714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</row>
    <row r="71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</row>
    <row r="716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</row>
    <row r="717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</row>
    <row r="718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</row>
    <row r="719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</row>
    <row r="720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</row>
    <row r="721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</row>
    <row r="722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</row>
    <row r="723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</row>
    <row r="724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</row>
    <row r="7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</row>
    <row r="726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</row>
    <row r="727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</row>
    <row r="728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</row>
    <row r="729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</row>
    <row r="730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</row>
    <row r="731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</row>
    <row r="732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</row>
    <row r="733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</row>
    <row r="734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</row>
    <row r="73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</row>
    <row r="736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</row>
    <row r="737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</row>
    <row r="738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</row>
    <row r="739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</row>
    <row r="740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</row>
    <row r="741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</row>
    <row r="742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</row>
    <row r="743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</row>
    <row r="744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</row>
    <row r="74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</row>
    <row r="746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</row>
    <row r="747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</row>
    <row r="748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</row>
    <row r="749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</row>
    <row r="750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</row>
    <row r="751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</row>
    <row r="752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</row>
    <row r="753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</row>
    <row r="754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</row>
    <row r="75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</row>
    <row r="756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</row>
    <row r="757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</row>
    <row r="758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</row>
    <row r="759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</row>
    <row r="760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</row>
    <row r="761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</row>
    <row r="762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</row>
    <row r="763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</row>
    <row r="764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</row>
    <row r="76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</row>
    <row r="766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</row>
    <row r="767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</row>
    <row r="768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</row>
    <row r="769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</row>
    <row r="770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</row>
    <row r="771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</row>
    <row r="772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</row>
    <row r="773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</row>
    <row r="774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</row>
    <row r="77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</row>
    <row r="776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</row>
    <row r="777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</row>
    <row r="778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</row>
    <row r="779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</row>
    <row r="780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</row>
    <row r="781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</row>
    <row r="782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</row>
    <row r="783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</row>
    <row r="784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</row>
    <row r="78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</row>
    <row r="786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</row>
    <row r="787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</row>
    <row r="788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</row>
    <row r="789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</row>
    <row r="790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</row>
    <row r="791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</row>
    <row r="792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</row>
    <row r="793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</row>
    <row r="794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</row>
    <row r="79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</row>
    <row r="796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</row>
    <row r="797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</row>
    <row r="798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</row>
    <row r="799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</row>
    <row r="800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</row>
    <row r="801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</row>
    <row r="802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</row>
    <row r="803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</row>
    <row r="804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</row>
    <row r="80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</row>
    <row r="806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</row>
    <row r="807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</row>
    <row r="808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</row>
    <row r="809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</row>
    <row r="810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</row>
    <row r="811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</row>
    <row r="812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</row>
    <row r="813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</row>
    <row r="814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</row>
    <row r="81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</row>
    <row r="816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</row>
    <row r="817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</row>
    <row r="818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</row>
    <row r="819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</row>
    <row r="820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</row>
    <row r="821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</row>
    <row r="822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</row>
    <row r="823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</row>
    <row r="824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</row>
    <row r="8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</row>
    <row r="826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</row>
    <row r="827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</row>
    <row r="828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</row>
    <row r="829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</row>
    <row r="830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</row>
    <row r="831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</row>
    <row r="832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</row>
    <row r="833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</row>
    <row r="834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</row>
    <row r="83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</row>
    <row r="836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</row>
    <row r="837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</row>
    <row r="838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</row>
    <row r="839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</row>
    <row r="840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</row>
    <row r="841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</row>
    <row r="842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</row>
    <row r="843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</row>
    <row r="844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</row>
    <row r="84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</row>
    <row r="846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</row>
    <row r="847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</row>
    <row r="848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</row>
    <row r="849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</row>
    <row r="850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</row>
    <row r="851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</row>
    <row r="852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</row>
    <row r="853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</row>
    <row r="854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</row>
    <row r="85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</row>
    <row r="856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</row>
    <row r="857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</row>
    <row r="858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</row>
    <row r="859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</row>
    <row r="860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</row>
    <row r="861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</row>
    <row r="862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</row>
    <row r="863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</row>
    <row r="864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</row>
    <row r="86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</row>
    <row r="866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</row>
    <row r="867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</row>
    <row r="868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</row>
    <row r="869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</row>
    <row r="870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</row>
    <row r="871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</row>
    <row r="872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</row>
    <row r="873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</row>
    <row r="874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</row>
    <row r="87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</row>
    <row r="876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</row>
    <row r="877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</row>
    <row r="878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</row>
    <row r="879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</row>
    <row r="880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</row>
    <row r="881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</row>
    <row r="882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</row>
    <row r="883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</row>
    <row r="884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</row>
    <row r="88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</row>
    <row r="886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</row>
    <row r="887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</row>
    <row r="888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</row>
    <row r="889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</row>
    <row r="890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</row>
    <row r="891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</row>
    <row r="892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</row>
    <row r="893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</row>
    <row r="894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</row>
    <row r="89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</row>
    <row r="896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</row>
    <row r="897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</row>
    <row r="898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</row>
    <row r="899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</row>
    <row r="900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</row>
    <row r="901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</row>
    <row r="902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</row>
    <row r="903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</row>
    <row r="904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</row>
    <row r="90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</row>
    <row r="906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</row>
    <row r="907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</row>
    <row r="908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</row>
    <row r="909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</row>
    <row r="910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</row>
    <row r="911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</row>
    <row r="912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</row>
    <row r="913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</row>
    <row r="914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</row>
    <row r="91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</row>
    <row r="916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</row>
    <row r="917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</row>
    <row r="918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</row>
    <row r="919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</row>
    <row r="920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</row>
    <row r="921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</row>
    <row r="922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</row>
    <row r="923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</row>
    <row r="924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</row>
    <row r="9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</row>
    <row r="926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</row>
    <row r="927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</row>
    <row r="928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</row>
    <row r="929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</row>
    <row r="930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</row>
    <row r="931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</row>
    <row r="932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</row>
    <row r="933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</row>
    <row r="934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</row>
    <row r="93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</row>
    <row r="936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</row>
    <row r="937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</row>
    <row r="938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</row>
    <row r="939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</row>
    <row r="940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</row>
    <row r="941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</row>
    <row r="942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</row>
    <row r="943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</row>
    <row r="944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</row>
    <row r="94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</row>
    <row r="946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</row>
    <row r="947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</row>
    <row r="948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</row>
    <row r="949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</row>
    <row r="950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</row>
    <row r="951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</row>
    <row r="952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</row>
    <row r="953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</row>
    <row r="954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</row>
    <row r="95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</row>
    <row r="956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</row>
    <row r="957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</row>
    <row r="958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</row>
    <row r="959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</row>
    <row r="960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</row>
    <row r="961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</row>
    <row r="962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</row>
    <row r="963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</row>
    <row r="964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</row>
    <row r="96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</row>
    <row r="966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</row>
    <row r="967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</row>
    <row r="968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</row>
    <row r="969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</row>
    <row r="970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</row>
    <row r="971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</row>
    <row r="972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</row>
    <row r="973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</row>
    <row r="974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</row>
    <row r="97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</row>
    <row r="976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</row>
    <row r="977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</row>
    <row r="978">
      <c r="A978" s="73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  <c r="S978" s="73"/>
      <c r="T978" s="73"/>
      <c r="U978" s="73"/>
      <c r="V978" s="73"/>
      <c r="W978" s="73"/>
      <c r="X978" s="73"/>
      <c r="Y978" s="73"/>
      <c r="Z978" s="73"/>
    </row>
    <row r="979">
      <c r="A979" s="73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73"/>
      <c r="S979" s="73"/>
      <c r="T979" s="73"/>
      <c r="U979" s="73"/>
      <c r="V979" s="73"/>
      <c r="W979" s="73"/>
      <c r="X979" s="73"/>
      <c r="Y979" s="73"/>
      <c r="Z979" s="73"/>
    </row>
    <row r="980">
      <c r="A980" s="73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73"/>
      <c r="S980" s="73"/>
      <c r="T980" s="73"/>
      <c r="U980" s="73"/>
      <c r="V980" s="73"/>
      <c r="W980" s="73"/>
      <c r="X980" s="73"/>
      <c r="Y980" s="73"/>
      <c r="Z980" s="73"/>
    </row>
    <row r="981">
      <c r="A981" s="73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73"/>
      <c r="S981" s="73"/>
      <c r="T981" s="73"/>
      <c r="U981" s="73"/>
      <c r="V981" s="73"/>
      <c r="W981" s="73"/>
      <c r="X981" s="73"/>
      <c r="Y981" s="73"/>
      <c r="Z981" s="73"/>
    </row>
    <row r="982">
      <c r="A982" s="73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  <c r="S982" s="73"/>
      <c r="T982" s="73"/>
      <c r="U982" s="73"/>
      <c r="V982" s="73"/>
      <c r="W982" s="73"/>
      <c r="X982" s="73"/>
      <c r="Y982" s="73"/>
      <c r="Z982" s="73"/>
    </row>
    <row r="983">
      <c r="A983" s="73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73"/>
      <c r="S983" s="73"/>
      <c r="T983" s="73"/>
      <c r="U983" s="73"/>
      <c r="V983" s="73"/>
      <c r="W983" s="73"/>
      <c r="X983" s="73"/>
      <c r="Y983" s="73"/>
      <c r="Z983" s="73"/>
    </row>
    <row r="984">
      <c r="A984" s="73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73"/>
      <c r="S984" s="73"/>
      <c r="T984" s="73"/>
      <c r="U984" s="73"/>
      <c r="V984" s="73"/>
      <c r="W984" s="73"/>
      <c r="X984" s="73"/>
      <c r="Y984" s="73"/>
      <c r="Z984" s="73"/>
    </row>
    <row r="985">
      <c r="A985" s="73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73"/>
      <c r="S985" s="73"/>
      <c r="T985" s="73"/>
      <c r="U985" s="73"/>
      <c r="V985" s="73"/>
      <c r="W985" s="73"/>
      <c r="X985" s="73"/>
      <c r="Y985" s="73"/>
      <c r="Z985" s="73"/>
    </row>
    <row r="986">
      <c r="A986" s="73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  <c r="S986" s="73"/>
      <c r="T986" s="73"/>
      <c r="U986" s="73"/>
      <c r="V986" s="73"/>
      <c r="W986" s="73"/>
      <c r="X986" s="73"/>
      <c r="Y986" s="73"/>
      <c r="Z986" s="73"/>
    </row>
    <row r="987">
      <c r="A987" s="73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73"/>
      <c r="S987" s="73"/>
      <c r="T987" s="73"/>
      <c r="U987" s="73"/>
      <c r="V987" s="73"/>
      <c r="W987" s="73"/>
      <c r="X987" s="73"/>
      <c r="Y987" s="73"/>
      <c r="Z987" s="73"/>
    </row>
    <row r="988">
      <c r="A988" s="73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73"/>
      <c r="S988" s="73"/>
      <c r="T988" s="73"/>
      <c r="U988" s="73"/>
      <c r="V988" s="73"/>
      <c r="W988" s="73"/>
      <c r="X988" s="73"/>
      <c r="Y988" s="73"/>
      <c r="Z988" s="73"/>
    </row>
    <row r="989">
      <c r="A989" s="73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73"/>
      <c r="S989" s="73"/>
      <c r="T989" s="73"/>
      <c r="U989" s="73"/>
      <c r="V989" s="73"/>
      <c r="W989" s="73"/>
      <c r="X989" s="73"/>
      <c r="Y989" s="73"/>
      <c r="Z989" s="73"/>
    </row>
    <row r="990">
      <c r="A990" s="73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  <c r="S990" s="73"/>
      <c r="T990" s="73"/>
      <c r="U990" s="73"/>
      <c r="V990" s="73"/>
      <c r="W990" s="73"/>
      <c r="X990" s="73"/>
      <c r="Y990" s="73"/>
      <c r="Z990" s="73"/>
    </row>
    <row r="991">
      <c r="A991" s="73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73"/>
      <c r="S991" s="73"/>
      <c r="T991" s="73"/>
      <c r="U991" s="73"/>
      <c r="V991" s="73"/>
      <c r="W991" s="73"/>
      <c r="X991" s="73"/>
      <c r="Y991" s="73"/>
      <c r="Z991" s="73"/>
    </row>
    <row r="992">
      <c r="A992" s="73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73"/>
      <c r="S992" s="73"/>
      <c r="T992" s="73"/>
      <c r="U992" s="73"/>
      <c r="V992" s="73"/>
      <c r="W992" s="73"/>
      <c r="X992" s="73"/>
      <c r="Y992" s="73"/>
      <c r="Z992" s="73"/>
    </row>
    <row r="993">
      <c r="A993" s="73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73"/>
      <c r="S993" s="73"/>
      <c r="T993" s="73"/>
      <c r="U993" s="73"/>
      <c r="V993" s="73"/>
      <c r="W993" s="73"/>
      <c r="X993" s="73"/>
      <c r="Y993" s="73"/>
      <c r="Z993" s="73"/>
    </row>
    <row r="994">
      <c r="A994" s="73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  <c r="S994" s="73"/>
      <c r="T994" s="73"/>
      <c r="U994" s="73"/>
      <c r="V994" s="73"/>
      <c r="W994" s="73"/>
      <c r="X994" s="73"/>
      <c r="Y994" s="73"/>
      <c r="Z994" s="73"/>
    </row>
    <row r="995">
      <c r="A995" s="73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73"/>
      <c r="S995" s="73"/>
      <c r="T995" s="73"/>
      <c r="U995" s="73"/>
      <c r="V995" s="73"/>
      <c r="W995" s="73"/>
      <c r="X995" s="73"/>
      <c r="Y995" s="73"/>
      <c r="Z995" s="73"/>
    </row>
    <row r="996">
      <c r="A996" s="73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73"/>
      <c r="S996" s="73"/>
      <c r="T996" s="73"/>
      <c r="U996" s="73"/>
      <c r="V996" s="73"/>
      <c r="W996" s="73"/>
      <c r="X996" s="73"/>
      <c r="Y996" s="73"/>
      <c r="Z996" s="73"/>
    </row>
    <row r="997">
      <c r="A997" s="73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73"/>
      <c r="S997" s="73"/>
      <c r="T997" s="73"/>
      <c r="U997" s="73"/>
      <c r="V997" s="73"/>
      <c r="W997" s="73"/>
      <c r="X997" s="73"/>
      <c r="Y997" s="73"/>
      <c r="Z997" s="73"/>
    </row>
    <row r="998">
      <c r="A998" s="73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  <c r="S998" s="73"/>
      <c r="T998" s="73"/>
      <c r="U998" s="73"/>
      <c r="V998" s="73"/>
      <c r="W998" s="73"/>
      <c r="X998" s="73"/>
      <c r="Y998" s="73"/>
      <c r="Z998" s="73"/>
    </row>
    <row r="999">
      <c r="A999" s="73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73"/>
      <c r="S999" s="73"/>
      <c r="T999" s="73"/>
      <c r="U999" s="73"/>
      <c r="V999" s="73"/>
      <c r="W999" s="73"/>
      <c r="X999" s="73"/>
      <c r="Y999" s="73"/>
      <c r="Z999" s="73"/>
    </row>
  </sheetData>
  <mergeCells count="15">
    <mergeCell ref="D9:F10"/>
    <mergeCell ref="G9:G10"/>
    <mergeCell ref="H9:H10"/>
    <mergeCell ref="I9:I10"/>
    <mergeCell ref="J9:J10"/>
    <mergeCell ref="A12:J12"/>
    <mergeCell ref="A15:J15"/>
    <mergeCell ref="A21:J21"/>
    <mergeCell ref="B1:D2"/>
    <mergeCell ref="B3:D3"/>
    <mergeCell ref="B4:D4"/>
    <mergeCell ref="B5:D5"/>
    <mergeCell ref="A9:A10"/>
    <mergeCell ref="B9:B10"/>
    <mergeCell ref="C9:C10"/>
  </mergeCells>
  <hyperlinks>
    <hyperlink r:id="rId1" ref="G13"/>
    <hyperlink r:id="rId2" ref="G14"/>
    <hyperlink r:id="rId3" ref="G16"/>
    <hyperlink r:id="rId4" ref="G17"/>
    <hyperlink r:id="rId5" ref="G18"/>
    <hyperlink r:id="rId6" ref="G19"/>
    <hyperlink r:id="rId7" ref="G20"/>
    <hyperlink r:id="rId8" ref="G22"/>
    <hyperlink r:id="rId9" ref="G23"/>
  </hyperlinks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39.38"/>
    <col customWidth="1" min="3" max="3" width="60.13"/>
    <col customWidth="1" min="6" max="6" width="57.88"/>
    <col customWidth="1" min="7" max="7" width="18.13"/>
    <col customWidth="1" min="10" max="10" width="116.38"/>
    <col customWidth="1" min="11" max="11" width="16.5"/>
    <col customWidth="1" min="12" max="12" width="27.0"/>
  </cols>
  <sheetData>
    <row r="1">
      <c r="A1" s="28" t="s">
        <v>0</v>
      </c>
      <c r="B1" s="29"/>
      <c r="E1" s="30"/>
      <c r="F1" s="30"/>
      <c r="G1" s="30"/>
      <c r="H1" s="30"/>
      <c r="I1" s="6"/>
      <c r="J1" s="30"/>
    </row>
    <row r="2">
      <c r="A2" s="30"/>
      <c r="B2" s="31"/>
      <c r="C2" s="31"/>
      <c r="D2" s="31"/>
      <c r="E2" s="30"/>
      <c r="F2" s="30"/>
      <c r="G2" s="30"/>
      <c r="H2" s="30"/>
      <c r="I2" s="6"/>
      <c r="J2" s="30"/>
    </row>
    <row r="3">
      <c r="A3" s="37" t="s">
        <v>133</v>
      </c>
      <c r="B3" s="33" t="s">
        <v>4</v>
      </c>
      <c r="C3" s="11"/>
      <c r="D3" s="12"/>
      <c r="E3" s="34"/>
      <c r="F3" s="34"/>
      <c r="G3" s="34"/>
      <c r="H3" s="35"/>
      <c r="I3" s="36"/>
      <c r="J3" s="36"/>
    </row>
    <row r="4">
      <c r="A4" s="37" t="s">
        <v>44</v>
      </c>
      <c r="B4" s="38" t="s">
        <v>32</v>
      </c>
      <c r="C4" s="11"/>
      <c r="D4" s="12"/>
      <c r="E4" s="34"/>
      <c r="F4" s="34"/>
      <c r="G4" s="34"/>
      <c r="H4" s="35"/>
      <c r="I4" s="36"/>
      <c r="J4" s="36"/>
    </row>
    <row r="5">
      <c r="A5" s="37" t="s">
        <v>46</v>
      </c>
      <c r="B5" s="33" t="s">
        <v>426</v>
      </c>
      <c r="C5" s="11"/>
      <c r="D5" s="12"/>
      <c r="E5" s="34"/>
      <c r="F5" s="34"/>
      <c r="G5" s="34"/>
      <c r="H5" s="35"/>
      <c r="I5" s="36"/>
      <c r="J5" s="36"/>
    </row>
    <row r="6">
      <c r="A6" s="39" t="s">
        <v>48</v>
      </c>
      <c r="B6" s="39">
        <v>18.0</v>
      </c>
      <c r="C6" s="40" t="s">
        <v>49</v>
      </c>
      <c r="D6" s="40">
        <v>0.0</v>
      </c>
      <c r="E6" s="35"/>
      <c r="F6" s="35"/>
      <c r="G6" s="35"/>
      <c r="H6" s="35"/>
      <c r="I6" s="36"/>
      <c r="J6" s="36"/>
    </row>
    <row r="7">
      <c r="A7" s="39" t="s">
        <v>50</v>
      </c>
      <c r="B7" s="39">
        <v>0.0</v>
      </c>
      <c r="C7" s="41" t="s">
        <v>51</v>
      </c>
      <c r="D7" s="40">
        <v>18.0</v>
      </c>
      <c r="E7" s="35"/>
      <c r="F7" s="35"/>
      <c r="G7" s="35"/>
      <c r="H7" s="35"/>
      <c r="I7" s="36"/>
      <c r="J7" s="36"/>
    </row>
    <row r="8">
      <c r="A8" s="42"/>
      <c r="B8" s="43"/>
      <c r="C8" s="43"/>
      <c r="D8" s="43"/>
      <c r="E8" s="35"/>
      <c r="F8" s="35"/>
      <c r="G8" s="35"/>
      <c r="H8" s="35"/>
      <c r="I8" s="44"/>
      <c r="J8" s="44"/>
    </row>
    <row r="9">
      <c r="A9" s="45" t="s">
        <v>52</v>
      </c>
      <c r="B9" s="46" t="s">
        <v>53</v>
      </c>
      <c r="C9" s="45" t="s">
        <v>54</v>
      </c>
      <c r="D9" s="47" t="s">
        <v>55</v>
      </c>
      <c r="G9" s="45" t="s">
        <v>56</v>
      </c>
      <c r="H9" s="48" t="s">
        <v>57</v>
      </c>
      <c r="I9" s="48" t="s">
        <v>58</v>
      </c>
      <c r="J9" s="48" t="s">
        <v>59</v>
      </c>
      <c r="K9" s="48" t="s">
        <v>60</v>
      </c>
      <c r="L9" s="48" t="s">
        <v>61</v>
      </c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  <c r="K10" s="49"/>
      <c r="L10" s="49"/>
    </row>
    <row r="11">
      <c r="A11" s="51"/>
      <c r="B11" s="43"/>
      <c r="C11" s="43"/>
      <c r="D11" s="43"/>
      <c r="E11" s="43"/>
      <c r="F11" s="43"/>
      <c r="G11" s="43"/>
      <c r="H11" s="43"/>
      <c r="I11" s="43"/>
      <c r="J11" s="43"/>
      <c r="K11" s="11"/>
      <c r="L11" s="12"/>
    </row>
    <row r="12">
      <c r="A12" s="52" t="s">
        <v>427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2"/>
    </row>
    <row r="13">
      <c r="A13" s="53" t="s">
        <v>428</v>
      </c>
      <c r="B13" s="93" t="s">
        <v>429</v>
      </c>
      <c r="C13" s="53" t="s">
        <v>430</v>
      </c>
      <c r="D13" s="55" t="s">
        <v>431</v>
      </c>
      <c r="E13" s="43"/>
      <c r="F13" s="43"/>
      <c r="G13" s="66" t="s">
        <v>432</v>
      </c>
      <c r="H13" s="57">
        <v>46134.0</v>
      </c>
      <c r="I13" s="53" t="s">
        <v>48</v>
      </c>
      <c r="J13" s="53" t="s">
        <v>433</v>
      </c>
      <c r="K13" s="53"/>
      <c r="L13" s="53"/>
    </row>
    <row r="14">
      <c r="A14" s="53" t="s">
        <v>434</v>
      </c>
      <c r="B14" s="93" t="s">
        <v>435</v>
      </c>
      <c r="C14" s="53" t="s">
        <v>436</v>
      </c>
      <c r="D14" s="55" t="s">
        <v>437</v>
      </c>
      <c r="E14" s="43"/>
      <c r="F14" s="43"/>
      <c r="G14" s="66" t="s">
        <v>438</v>
      </c>
      <c r="H14" s="57">
        <v>46134.0</v>
      </c>
      <c r="I14" s="53" t="s">
        <v>48</v>
      </c>
      <c r="J14" s="53" t="s">
        <v>439</v>
      </c>
      <c r="K14" s="53"/>
      <c r="L14" s="53"/>
    </row>
    <row r="15">
      <c r="A15" s="53" t="s">
        <v>440</v>
      </c>
      <c r="B15" s="93" t="s">
        <v>441</v>
      </c>
      <c r="C15" s="53" t="s">
        <v>442</v>
      </c>
      <c r="D15" s="94" t="s">
        <v>443</v>
      </c>
      <c r="E15" s="43"/>
      <c r="F15" s="43"/>
      <c r="G15" s="66" t="s">
        <v>444</v>
      </c>
      <c r="H15" s="57">
        <v>46134.0</v>
      </c>
      <c r="I15" s="53" t="s">
        <v>50</v>
      </c>
      <c r="J15" s="53" t="s">
        <v>445</v>
      </c>
      <c r="K15" s="53" t="s">
        <v>48</v>
      </c>
      <c r="L15" s="66" t="s">
        <v>446</v>
      </c>
    </row>
    <row r="16">
      <c r="A16" s="53" t="s">
        <v>447</v>
      </c>
      <c r="B16" s="93" t="s">
        <v>448</v>
      </c>
      <c r="C16" s="53" t="s">
        <v>449</v>
      </c>
      <c r="D16" s="95" t="s">
        <v>450</v>
      </c>
      <c r="E16" s="43"/>
      <c r="F16" s="43"/>
      <c r="G16" s="66" t="s">
        <v>451</v>
      </c>
      <c r="H16" s="57">
        <v>46134.0</v>
      </c>
      <c r="I16" s="53" t="s">
        <v>50</v>
      </c>
      <c r="J16" s="53" t="s">
        <v>452</v>
      </c>
      <c r="K16" s="53" t="s">
        <v>48</v>
      </c>
      <c r="L16" s="66" t="s">
        <v>453</v>
      </c>
    </row>
    <row r="17">
      <c r="A17" s="53" t="s">
        <v>454</v>
      </c>
      <c r="B17" s="93" t="s">
        <v>455</v>
      </c>
      <c r="C17" s="53" t="s">
        <v>456</v>
      </c>
      <c r="D17" s="95" t="s">
        <v>450</v>
      </c>
      <c r="E17" s="43"/>
      <c r="F17" s="43"/>
      <c r="G17" s="66" t="s">
        <v>457</v>
      </c>
      <c r="H17" s="57">
        <v>46134.0</v>
      </c>
      <c r="I17" s="53" t="s">
        <v>50</v>
      </c>
      <c r="J17" s="53" t="s">
        <v>458</v>
      </c>
      <c r="K17" s="53" t="s">
        <v>48</v>
      </c>
      <c r="L17" s="66" t="s">
        <v>459</v>
      </c>
    </row>
    <row r="18">
      <c r="A18" s="53" t="s">
        <v>460</v>
      </c>
      <c r="B18" s="93" t="s">
        <v>461</v>
      </c>
      <c r="C18" s="53" t="s">
        <v>462</v>
      </c>
      <c r="D18" s="55" t="s">
        <v>463</v>
      </c>
      <c r="E18" s="43"/>
      <c r="F18" s="43"/>
      <c r="G18" s="66" t="s">
        <v>464</v>
      </c>
      <c r="H18" s="57">
        <v>46134.0</v>
      </c>
      <c r="I18" s="53" t="s">
        <v>48</v>
      </c>
      <c r="J18" s="53" t="s">
        <v>465</v>
      </c>
      <c r="K18" s="53"/>
      <c r="L18" s="53"/>
    </row>
    <row r="19">
      <c r="A19" s="53" t="s">
        <v>466</v>
      </c>
      <c r="B19" s="93" t="s">
        <v>467</v>
      </c>
      <c r="C19" s="53" t="s">
        <v>468</v>
      </c>
      <c r="D19" s="55" t="s">
        <v>469</v>
      </c>
      <c r="E19" s="43"/>
      <c r="F19" s="43"/>
      <c r="G19" s="66" t="s">
        <v>470</v>
      </c>
      <c r="H19" s="57">
        <v>46134.0</v>
      </c>
      <c r="I19" s="53" t="s">
        <v>48</v>
      </c>
      <c r="J19" s="53" t="s">
        <v>471</v>
      </c>
      <c r="K19" s="53"/>
      <c r="L19" s="53"/>
    </row>
    <row r="20">
      <c r="A20" s="53" t="s">
        <v>472</v>
      </c>
      <c r="B20" s="93" t="s">
        <v>473</v>
      </c>
      <c r="C20" s="53" t="s">
        <v>474</v>
      </c>
      <c r="D20" s="55" t="s">
        <v>475</v>
      </c>
      <c r="E20" s="43"/>
      <c r="F20" s="43"/>
      <c r="G20" s="66" t="s">
        <v>476</v>
      </c>
      <c r="H20" s="57">
        <v>46134.0</v>
      </c>
      <c r="I20" s="53" t="s">
        <v>48</v>
      </c>
      <c r="J20" s="53" t="s">
        <v>471</v>
      </c>
      <c r="K20" s="53"/>
      <c r="L20" s="53"/>
    </row>
    <row r="21">
      <c r="A21" s="53" t="s">
        <v>477</v>
      </c>
      <c r="B21" s="93" t="s">
        <v>478</v>
      </c>
      <c r="C21" s="53" t="s">
        <v>479</v>
      </c>
      <c r="D21" s="55" t="s">
        <v>480</v>
      </c>
      <c r="E21" s="43"/>
      <c r="F21" s="43"/>
      <c r="G21" s="66" t="s">
        <v>481</v>
      </c>
      <c r="H21" s="57">
        <v>46134.0</v>
      </c>
      <c r="I21" s="53" t="s">
        <v>50</v>
      </c>
      <c r="J21" s="53" t="s">
        <v>482</v>
      </c>
      <c r="K21" s="53" t="s">
        <v>48</v>
      </c>
      <c r="L21" s="66" t="s">
        <v>483</v>
      </c>
    </row>
    <row r="22">
      <c r="A22" s="53" t="s">
        <v>484</v>
      </c>
      <c r="B22" s="93" t="s">
        <v>485</v>
      </c>
      <c r="C22" s="53" t="s">
        <v>486</v>
      </c>
      <c r="D22" s="55" t="s">
        <v>480</v>
      </c>
      <c r="E22" s="43"/>
      <c r="F22" s="43"/>
      <c r="G22" s="66" t="s">
        <v>487</v>
      </c>
      <c r="H22" s="57">
        <v>46134.0</v>
      </c>
      <c r="I22" s="53" t="s">
        <v>50</v>
      </c>
      <c r="J22" s="53" t="s">
        <v>488</v>
      </c>
      <c r="K22" s="53" t="s">
        <v>48</v>
      </c>
      <c r="L22" s="66" t="s">
        <v>489</v>
      </c>
    </row>
    <row r="23">
      <c r="A23" s="53" t="s">
        <v>490</v>
      </c>
      <c r="B23" s="93" t="s">
        <v>491</v>
      </c>
      <c r="C23" s="53" t="s">
        <v>492</v>
      </c>
      <c r="D23" s="55" t="s">
        <v>480</v>
      </c>
      <c r="E23" s="43"/>
      <c r="F23" s="43"/>
      <c r="G23" s="66" t="s">
        <v>493</v>
      </c>
      <c r="H23" s="57">
        <v>46134.0</v>
      </c>
      <c r="I23" s="53" t="s">
        <v>50</v>
      </c>
      <c r="J23" s="53" t="s">
        <v>494</v>
      </c>
      <c r="K23" s="53" t="s">
        <v>48</v>
      </c>
      <c r="L23" s="66" t="s">
        <v>495</v>
      </c>
    </row>
    <row r="24">
      <c r="A24" s="52" t="s">
        <v>496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2"/>
    </row>
    <row r="25">
      <c r="A25" s="58" t="s">
        <v>497</v>
      </c>
      <c r="B25" s="54" t="s">
        <v>498</v>
      </c>
      <c r="C25" s="54" t="s">
        <v>499</v>
      </c>
      <c r="D25" s="61" t="s">
        <v>500</v>
      </c>
      <c r="E25" s="62"/>
      <c r="F25" s="62"/>
      <c r="G25" s="60" t="s">
        <v>501</v>
      </c>
      <c r="H25" s="57">
        <v>46151.0</v>
      </c>
      <c r="I25" s="54" t="s">
        <v>48</v>
      </c>
      <c r="J25" s="58" t="s">
        <v>502</v>
      </c>
      <c r="K25" s="54"/>
      <c r="L25" s="54"/>
    </row>
    <row r="26">
      <c r="A26" s="58" t="s">
        <v>503</v>
      </c>
      <c r="B26" s="54" t="s">
        <v>504</v>
      </c>
      <c r="C26" s="54" t="s">
        <v>505</v>
      </c>
      <c r="D26" s="61" t="s">
        <v>500</v>
      </c>
      <c r="E26" s="62"/>
      <c r="F26" s="62"/>
      <c r="G26" s="60" t="s">
        <v>506</v>
      </c>
      <c r="H26" s="57">
        <v>46151.0</v>
      </c>
      <c r="I26" s="54" t="s">
        <v>48</v>
      </c>
      <c r="J26" s="58" t="s">
        <v>507</v>
      </c>
      <c r="K26" s="54"/>
      <c r="L26" s="54"/>
    </row>
    <row r="27">
      <c r="A27" s="58" t="s">
        <v>508</v>
      </c>
      <c r="B27" s="89" t="s">
        <v>509</v>
      </c>
      <c r="C27" s="89" t="s">
        <v>510</v>
      </c>
      <c r="D27" s="91" t="s">
        <v>511</v>
      </c>
      <c r="E27" s="62"/>
      <c r="F27" s="62"/>
      <c r="G27" s="60" t="s">
        <v>512</v>
      </c>
      <c r="H27" s="57">
        <v>46151.0</v>
      </c>
      <c r="I27" s="89" t="s">
        <v>48</v>
      </c>
      <c r="J27" s="58" t="s">
        <v>513</v>
      </c>
      <c r="K27" s="89"/>
      <c r="L27" s="89"/>
    </row>
    <row r="28">
      <c r="A28" s="58" t="s">
        <v>514</v>
      </c>
      <c r="B28" s="89" t="s">
        <v>515</v>
      </c>
      <c r="C28" s="89" t="s">
        <v>515</v>
      </c>
      <c r="D28" s="91" t="s">
        <v>511</v>
      </c>
      <c r="E28" s="62"/>
      <c r="F28" s="62"/>
      <c r="G28" s="60" t="s">
        <v>516</v>
      </c>
      <c r="H28" s="57">
        <v>46151.0</v>
      </c>
      <c r="I28" s="89" t="s">
        <v>48</v>
      </c>
      <c r="J28" s="58" t="s">
        <v>517</v>
      </c>
      <c r="K28" s="89"/>
      <c r="L28" s="89"/>
    </row>
    <row r="29">
      <c r="A29" s="58" t="s">
        <v>518</v>
      </c>
      <c r="B29" s="89" t="s">
        <v>519</v>
      </c>
      <c r="C29" s="89" t="s">
        <v>520</v>
      </c>
      <c r="D29" s="91" t="s">
        <v>521</v>
      </c>
      <c r="E29" s="62"/>
      <c r="F29" s="62"/>
      <c r="G29" s="60" t="s">
        <v>522</v>
      </c>
      <c r="H29" s="57">
        <v>46151.0</v>
      </c>
      <c r="I29" s="89" t="s">
        <v>48</v>
      </c>
      <c r="J29" s="58" t="s">
        <v>523</v>
      </c>
      <c r="K29" s="89"/>
      <c r="L29" s="89"/>
    </row>
    <row r="30">
      <c r="A30" s="58" t="s">
        <v>524</v>
      </c>
      <c r="B30" s="89" t="s">
        <v>525</v>
      </c>
      <c r="C30" s="89" t="s">
        <v>526</v>
      </c>
      <c r="D30" s="91" t="s">
        <v>527</v>
      </c>
      <c r="E30" s="62"/>
      <c r="F30" s="62"/>
      <c r="G30" s="60" t="s">
        <v>528</v>
      </c>
      <c r="H30" s="57">
        <v>46151.0</v>
      </c>
      <c r="I30" s="89" t="s">
        <v>48</v>
      </c>
      <c r="J30" s="58" t="s">
        <v>529</v>
      </c>
      <c r="K30" s="89"/>
      <c r="L30" s="89"/>
    </row>
    <row r="31">
      <c r="A31" s="58" t="s">
        <v>530</v>
      </c>
      <c r="B31" s="89" t="s">
        <v>531</v>
      </c>
      <c r="C31" s="89" t="s">
        <v>532</v>
      </c>
      <c r="D31" s="65" t="s">
        <v>533</v>
      </c>
      <c r="E31" s="62"/>
      <c r="F31" s="62"/>
      <c r="G31" s="60" t="s">
        <v>534</v>
      </c>
      <c r="H31" s="57">
        <v>46151.0</v>
      </c>
      <c r="I31" s="89" t="s">
        <v>50</v>
      </c>
      <c r="J31" s="89" t="s">
        <v>535</v>
      </c>
      <c r="K31" s="58" t="s">
        <v>48</v>
      </c>
      <c r="L31" s="60" t="s">
        <v>536</v>
      </c>
    </row>
  </sheetData>
  <mergeCells count="17">
    <mergeCell ref="B1:D2"/>
    <mergeCell ref="B3:D3"/>
    <mergeCell ref="B4:D4"/>
    <mergeCell ref="B5:D5"/>
    <mergeCell ref="A9:A10"/>
    <mergeCell ref="B9:B10"/>
    <mergeCell ref="C9:C10"/>
    <mergeCell ref="J11:L11"/>
    <mergeCell ref="A12:L12"/>
    <mergeCell ref="A24:L24"/>
    <mergeCell ref="D9:F10"/>
    <mergeCell ref="G9:G10"/>
    <mergeCell ref="H9:H10"/>
    <mergeCell ref="I9:I10"/>
    <mergeCell ref="J9:J10"/>
    <mergeCell ref="K9:K10"/>
    <mergeCell ref="L9:L10"/>
  </mergeCells>
  <hyperlinks>
    <hyperlink r:id="rId1" ref="G13"/>
    <hyperlink r:id="rId2" ref="G14"/>
    <hyperlink r:id="rId3" ref="G15"/>
    <hyperlink r:id="rId4" ref="L15"/>
    <hyperlink r:id="rId5" ref="G16"/>
    <hyperlink r:id="rId6" ref="L16"/>
    <hyperlink r:id="rId7" ref="G17"/>
    <hyperlink r:id="rId8" ref="L17"/>
    <hyperlink r:id="rId9" ref="G18"/>
    <hyperlink r:id="rId10" ref="G19"/>
    <hyperlink r:id="rId11" ref="G20"/>
    <hyperlink r:id="rId12" ref="G21"/>
    <hyperlink r:id="rId13" ref="L21"/>
    <hyperlink r:id="rId14" ref="G22"/>
    <hyperlink r:id="rId15" ref="L22"/>
    <hyperlink r:id="rId16" ref="G23"/>
    <hyperlink r:id="rId17" ref="L23"/>
    <hyperlink r:id="rId18" ref="G25"/>
    <hyperlink r:id="rId19" ref="G26"/>
    <hyperlink r:id="rId20" ref="G27"/>
    <hyperlink r:id="rId21" ref="G28"/>
    <hyperlink r:id="rId22" ref="G29"/>
    <hyperlink r:id="rId23" ref="G30"/>
    <hyperlink r:id="rId24" ref="G31"/>
    <hyperlink r:id="rId25" ref="L31"/>
  </hyperlinks>
  <drawing r:id="rId26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13"/>
    <col customWidth="1" min="2" max="2" width="45.25"/>
    <col customWidth="1" min="3" max="3" width="64.63"/>
    <col customWidth="1" min="4" max="4" width="30.13"/>
    <col customWidth="1" min="6" max="6" width="26.88"/>
    <col customWidth="1" min="7" max="7" width="20.38"/>
    <col customWidth="1" min="10" max="10" width="42.75"/>
    <col customWidth="1" min="11" max="11" width="16.63"/>
    <col customWidth="1" min="12" max="12" width="23.63"/>
  </cols>
  <sheetData>
    <row r="1">
      <c r="A1" s="28" t="s">
        <v>0</v>
      </c>
      <c r="B1" s="29"/>
      <c r="E1" s="30"/>
      <c r="F1" s="30"/>
      <c r="G1" s="30"/>
      <c r="H1" s="30"/>
      <c r="I1" s="6"/>
      <c r="J1" s="30"/>
    </row>
    <row r="2">
      <c r="A2" s="30"/>
      <c r="B2" s="31"/>
      <c r="C2" s="31"/>
      <c r="D2" s="31"/>
      <c r="E2" s="30"/>
      <c r="F2" s="30"/>
      <c r="G2" s="30"/>
      <c r="H2" s="30"/>
      <c r="I2" s="6"/>
      <c r="J2" s="30"/>
    </row>
    <row r="3">
      <c r="A3" s="37" t="s">
        <v>133</v>
      </c>
      <c r="B3" s="33" t="s">
        <v>4</v>
      </c>
      <c r="C3" s="11"/>
      <c r="D3" s="12"/>
      <c r="E3" s="34"/>
      <c r="F3" s="34"/>
      <c r="G3" s="34"/>
      <c r="H3" s="35"/>
      <c r="I3" s="36"/>
      <c r="J3" s="36"/>
    </row>
    <row r="4">
      <c r="A4" s="37" t="s">
        <v>44</v>
      </c>
      <c r="B4" s="38" t="s">
        <v>42</v>
      </c>
      <c r="C4" s="11"/>
      <c r="D4" s="12"/>
      <c r="E4" s="34"/>
      <c r="F4" s="34"/>
      <c r="G4" s="34"/>
      <c r="H4" s="35"/>
      <c r="I4" s="36"/>
      <c r="J4" s="36"/>
    </row>
    <row r="5">
      <c r="A5" s="37" t="s">
        <v>46</v>
      </c>
      <c r="B5" s="33" t="s">
        <v>537</v>
      </c>
      <c r="C5" s="11"/>
      <c r="D5" s="12"/>
      <c r="E5" s="34"/>
      <c r="F5" s="34"/>
      <c r="G5" s="34"/>
      <c r="H5" s="35"/>
      <c r="I5" s="36"/>
      <c r="J5" s="36"/>
    </row>
    <row r="6">
      <c r="A6" s="39" t="s">
        <v>48</v>
      </c>
      <c r="B6" s="39">
        <v>18.0</v>
      </c>
      <c r="C6" s="40" t="s">
        <v>49</v>
      </c>
      <c r="D6" s="40">
        <v>0.0</v>
      </c>
      <c r="E6" s="35"/>
      <c r="F6" s="35"/>
      <c r="G6" s="35"/>
      <c r="H6" s="35"/>
      <c r="I6" s="36"/>
      <c r="J6" s="36"/>
    </row>
    <row r="7">
      <c r="A7" s="39" t="s">
        <v>50</v>
      </c>
      <c r="B7" s="39">
        <v>0.0</v>
      </c>
      <c r="C7" s="41" t="s">
        <v>51</v>
      </c>
      <c r="D7" s="40">
        <v>18.0</v>
      </c>
      <c r="E7" s="35"/>
      <c r="F7" s="35"/>
      <c r="G7" s="35"/>
      <c r="H7" s="35"/>
      <c r="I7" s="36"/>
      <c r="J7" s="36"/>
    </row>
    <row r="8">
      <c r="A8" s="42"/>
      <c r="B8" s="43"/>
      <c r="C8" s="43"/>
      <c r="D8" s="43"/>
      <c r="E8" s="35"/>
      <c r="F8" s="35"/>
      <c r="G8" s="35"/>
      <c r="H8" s="35"/>
      <c r="I8" s="44"/>
      <c r="J8" s="44"/>
    </row>
    <row r="9">
      <c r="A9" s="45" t="s">
        <v>52</v>
      </c>
      <c r="B9" s="46" t="s">
        <v>53</v>
      </c>
      <c r="C9" s="45" t="s">
        <v>54</v>
      </c>
      <c r="D9" s="47" t="s">
        <v>55</v>
      </c>
      <c r="G9" s="45" t="s">
        <v>56</v>
      </c>
      <c r="H9" s="48" t="s">
        <v>57</v>
      </c>
      <c r="I9" s="48" t="s">
        <v>58</v>
      </c>
      <c r="J9" s="48" t="s">
        <v>59</v>
      </c>
      <c r="K9" s="48" t="s">
        <v>60</v>
      </c>
      <c r="L9" s="48" t="s">
        <v>61</v>
      </c>
    </row>
    <row r="10">
      <c r="A10" s="49"/>
      <c r="B10" s="49"/>
      <c r="C10" s="49"/>
      <c r="D10" s="50"/>
      <c r="E10" s="31"/>
      <c r="F10" s="31"/>
      <c r="G10" s="49"/>
      <c r="H10" s="49"/>
      <c r="I10" s="49"/>
      <c r="J10" s="49"/>
      <c r="K10" s="49"/>
      <c r="L10" s="49"/>
    </row>
    <row r="11">
      <c r="A11" s="51"/>
      <c r="B11" s="43"/>
      <c r="C11" s="43"/>
      <c r="D11" s="43"/>
      <c r="E11" s="43"/>
      <c r="F11" s="43"/>
      <c r="G11" s="43"/>
      <c r="H11" s="43"/>
      <c r="I11" s="43"/>
      <c r="J11" s="43"/>
      <c r="K11" s="11"/>
      <c r="L11" s="12"/>
    </row>
    <row r="12">
      <c r="A12" s="52" t="s">
        <v>194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2"/>
    </row>
    <row r="13">
      <c r="A13" s="58" t="s">
        <v>538</v>
      </c>
      <c r="B13" s="54" t="s">
        <v>539</v>
      </c>
      <c r="C13" s="58" t="s">
        <v>540</v>
      </c>
      <c r="D13" s="65" t="s">
        <v>541</v>
      </c>
      <c r="E13" s="62"/>
      <c r="F13" s="62"/>
      <c r="G13" s="66" t="s">
        <v>542</v>
      </c>
      <c r="H13" s="57">
        <v>46152.0</v>
      </c>
      <c r="I13" s="53" t="s">
        <v>48</v>
      </c>
      <c r="J13" s="53" t="s">
        <v>543</v>
      </c>
      <c r="K13" s="53"/>
      <c r="L13" s="53"/>
    </row>
    <row r="14">
      <c r="A14" s="58" t="s">
        <v>544</v>
      </c>
      <c r="B14" s="54" t="s">
        <v>545</v>
      </c>
      <c r="C14" s="58" t="s">
        <v>546</v>
      </c>
      <c r="D14" s="65" t="s">
        <v>547</v>
      </c>
      <c r="E14" s="62"/>
      <c r="F14" s="62"/>
      <c r="G14" s="66" t="s">
        <v>548</v>
      </c>
      <c r="H14" s="57">
        <v>46152.0</v>
      </c>
      <c r="I14" s="53" t="s">
        <v>48</v>
      </c>
      <c r="J14" s="53" t="s">
        <v>549</v>
      </c>
      <c r="K14" s="53"/>
      <c r="L14" s="53"/>
    </row>
    <row r="15">
      <c r="A15" s="58" t="s">
        <v>550</v>
      </c>
      <c r="B15" s="54" t="s">
        <v>551</v>
      </c>
      <c r="C15" s="54" t="s">
        <v>552</v>
      </c>
      <c r="D15" s="61" t="s">
        <v>553</v>
      </c>
      <c r="E15" s="62"/>
      <c r="F15" s="62"/>
      <c r="G15" s="66" t="s">
        <v>554</v>
      </c>
      <c r="H15" s="57">
        <v>46152.0</v>
      </c>
      <c r="I15" s="53" t="s">
        <v>48</v>
      </c>
      <c r="J15" s="53" t="s">
        <v>555</v>
      </c>
      <c r="K15" s="53"/>
      <c r="L15" s="53"/>
    </row>
    <row r="16">
      <c r="A16" s="58" t="s">
        <v>556</v>
      </c>
      <c r="B16" s="58" t="s">
        <v>557</v>
      </c>
      <c r="C16" s="58" t="s">
        <v>558</v>
      </c>
      <c r="D16" s="65" t="s">
        <v>559</v>
      </c>
      <c r="E16" s="62"/>
      <c r="F16" s="62"/>
      <c r="G16" s="66" t="s">
        <v>560</v>
      </c>
      <c r="H16" s="57">
        <v>46152.0</v>
      </c>
      <c r="I16" s="53" t="s">
        <v>48</v>
      </c>
      <c r="J16" s="53" t="s">
        <v>561</v>
      </c>
      <c r="K16" s="53"/>
      <c r="L16" s="53"/>
    </row>
    <row r="17">
      <c r="A17" s="52" t="s">
        <v>562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2"/>
    </row>
    <row r="18">
      <c r="A18" s="58" t="s">
        <v>563</v>
      </c>
      <c r="B18" s="54" t="s">
        <v>564</v>
      </c>
      <c r="C18" s="53" t="s">
        <v>565</v>
      </c>
      <c r="D18" s="61" t="s">
        <v>566</v>
      </c>
      <c r="E18" s="62"/>
      <c r="F18" s="62"/>
      <c r="G18" s="66" t="s">
        <v>567</v>
      </c>
      <c r="H18" s="57">
        <v>46136.0</v>
      </c>
      <c r="I18" s="53" t="s">
        <v>50</v>
      </c>
      <c r="J18" s="53" t="s">
        <v>568</v>
      </c>
      <c r="K18" s="53" t="s">
        <v>48</v>
      </c>
      <c r="L18" s="66" t="s">
        <v>569</v>
      </c>
    </row>
    <row r="19">
      <c r="A19" s="58" t="s">
        <v>570</v>
      </c>
      <c r="B19" s="54" t="s">
        <v>571</v>
      </c>
      <c r="C19" s="58" t="s">
        <v>572</v>
      </c>
      <c r="D19" s="61" t="s">
        <v>573</v>
      </c>
      <c r="E19" s="62"/>
      <c r="F19" s="62"/>
      <c r="G19" s="66" t="s">
        <v>574</v>
      </c>
      <c r="H19" s="57">
        <v>46152.0</v>
      </c>
      <c r="I19" s="53" t="s">
        <v>48</v>
      </c>
      <c r="J19" s="53" t="s">
        <v>575</v>
      </c>
      <c r="K19" s="53"/>
      <c r="L19" s="53"/>
    </row>
    <row r="20">
      <c r="A20" s="58" t="s">
        <v>576</v>
      </c>
      <c r="B20" s="54" t="s">
        <v>577</v>
      </c>
      <c r="C20" s="92" t="s">
        <v>578</v>
      </c>
      <c r="D20" s="61" t="s">
        <v>579</v>
      </c>
      <c r="E20" s="62"/>
      <c r="F20" s="62"/>
      <c r="G20" s="66" t="s">
        <v>580</v>
      </c>
      <c r="H20" s="57">
        <v>46152.0</v>
      </c>
      <c r="I20" s="53" t="s">
        <v>48</v>
      </c>
      <c r="J20" s="53" t="s">
        <v>581</v>
      </c>
      <c r="K20" s="53"/>
      <c r="L20" s="53"/>
    </row>
    <row r="21">
      <c r="A21" s="58" t="s">
        <v>582</v>
      </c>
      <c r="B21" s="54" t="s">
        <v>583</v>
      </c>
      <c r="C21" s="54" t="s">
        <v>584</v>
      </c>
      <c r="D21" s="61" t="s">
        <v>579</v>
      </c>
      <c r="E21" s="62"/>
      <c r="F21" s="62"/>
      <c r="G21" s="66" t="s">
        <v>585</v>
      </c>
      <c r="H21" s="57">
        <v>46152.0</v>
      </c>
      <c r="I21" s="53" t="s">
        <v>48</v>
      </c>
      <c r="J21" s="53" t="s">
        <v>586</v>
      </c>
      <c r="K21" s="53"/>
      <c r="L21" s="53"/>
    </row>
    <row r="22">
      <c r="A22" s="58" t="s">
        <v>587</v>
      </c>
      <c r="B22" s="54" t="s">
        <v>588</v>
      </c>
      <c r="C22" s="54" t="s">
        <v>589</v>
      </c>
      <c r="D22" s="61" t="s">
        <v>579</v>
      </c>
      <c r="E22" s="62"/>
      <c r="F22" s="62"/>
      <c r="G22" s="66" t="s">
        <v>590</v>
      </c>
      <c r="H22" s="57">
        <v>46152.0</v>
      </c>
      <c r="I22" s="53" t="s">
        <v>48</v>
      </c>
      <c r="J22" s="53" t="s">
        <v>591</v>
      </c>
      <c r="K22" s="53"/>
      <c r="L22" s="53"/>
    </row>
    <row r="23">
      <c r="A23" s="58" t="s">
        <v>592</v>
      </c>
      <c r="B23" s="54" t="s">
        <v>593</v>
      </c>
      <c r="C23" s="54" t="s">
        <v>594</v>
      </c>
      <c r="D23" s="61" t="s">
        <v>595</v>
      </c>
      <c r="E23" s="62"/>
      <c r="F23" s="62"/>
      <c r="G23" s="66" t="s">
        <v>596</v>
      </c>
      <c r="H23" s="57">
        <v>46152.0</v>
      </c>
      <c r="I23" s="53" t="s">
        <v>48</v>
      </c>
      <c r="J23" s="53" t="s">
        <v>597</v>
      </c>
      <c r="K23" s="53"/>
      <c r="L23" s="53"/>
    </row>
    <row r="24">
      <c r="A24" s="52" t="s">
        <v>598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2"/>
    </row>
    <row r="25">
      <c r="A25" s="58" t="s">
        <v>599</v>
      </c>
      <c r="B25" s="58" t="s">
        <v>600</v>
      </c>
      <c r="C25" s="54" t="s">
        <v>601</v>
      </c>
      <c r="D25" s="61" t="s">
        <v>602</v>
      </c>
      <c r="E25" s="62"/>
      <c r="F25" s="62"/>
      <c r="G25" s="66" t="s">
        <v>603</v>
      </c>
      <c r="H25" s="57">
        <v>46152.0</v>
      </c>
      <c r="I25" s="53" t="s">
        <v>48</v>
      </c>
      <c r="J25" s="53" t="s">
        <v>604</v>
      </c>
      <c r="K25" s="53"/>
      <c r="L25" s="53"/>
    </row>
    <row r="26">
      <c r="A26" s="58" t="s">
        <v>605</v>
      </c>
      <c r="B26" s="58" t="s">
        <v>606</v>
      </c>
      <c r="C26" s="58" t="s">
        <v>607</v>
      </c>
      <c r="D26" s="65" t="s">
        <v>608</v>
      </c>
      <c r="E26" s="62"/>
      <c r="F26" s="62"/>
      <c r="G26" s="66" t="s">
        <v>609</v>
      </c>
      <c r="H26" s="57">
        <v>46152.0</v>
      </c>
      <c r="I26" s="53" t="s">
        <v>48</v>
      </c>
      <c r="J26" s="53" t="s">
        <v>610</v>
      </c>
      <c r="K26" s="53"/>
      <c r="L26" s="53"/>
    </row>
    <row r="27">
      <c r="A27" s="52" t="s">
        <v>611</v>
      </c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2"/>
    </row>
    <row r="28">
      <c r="A28" s="58" t="s">
        <v>612</v>
      </c>
      <c r="B28" s="58" t="s">
        <v>613</v>
      </c>
      <c r="C28" s="53" t="s">
        <v>614</v>
      </c>
      <c r="D28" s="65" t="s">
        <v>615</v>
      </c>
      <c r="E28" s="62"/>
      <c r="F28" s="96"/>
      <c r="G28" s="56" t="s">
        <v>616</v>
      </c>
      <c r="H28" s="57">
        <v>46152.0</v>
      </c>
      <c r="I28" s="53" t="s">
        <v>48</v>
      </c>
      <c r="J28" s="53" t="s">
        <v>617</v>
      </c>
      <c r="K28" s="53"/>
      <c r="L28" s="53"/>
    </row>
    <row r="29">
      <c r="A29" s="58" t="s">
        <v>618</v>
      </c>
      <c r="B29" s="58" t="s">
        <v>619</v>
      </c>
      <c r="C29" s="58" t="s">
        <v>620</v>
      </c>
      <c r="D29" s="65" t="s">
        <v>621</v>
      </c>
      <c r="E29" s="62"/>
      <c r="F29" s="62"/>
      <c r="G29" s="66" t="s">
        <v>622</v>
      </c>
      <c r="H29" s="57">
        <v>46152.0</v>
      </c>
      <c r="I29" s="53" t="s">
        <v>48</v>
      </c>
      <c r="J29" s="53" t="s">
        <v>623</v>
      </c>
      <c r="K29" s="53"/>
      <c r="L29" s="53"/>
    </row>
    <row r="30">
      <c r="A30" s="58" t="s">
        <v>624</v>
      </c>
      <c r="B30" s="58" t="s">
        <v>625</v>
      </c>
      <c r="C30" s="58" t="s">
        <v>626</v>
      </c>
      <c r="D30" s="65" t="s">
        <v>627</v>
      </c>
      <c r="E30" s="62"/>
      <c r="F30" s="62"/>
      <c r="G30" s="66" t="s">
        <v>628</v>
      </c>
      <c r="H30" s="57">
        <v>46152.0</v>
      </c>
      <c r="I30" s="53" t="s">
        <v>48</v>
      </c>
      <c r="J30" s="53" t="s">
        <v>629</v>
      </c>
      <c r="K30" s="53"/>
      <c r="L30" s="53"/>
    </row>
    <row r="31">
      <c r="A31" s="58" t="s">
        <v>630</v>
      </c>
      <c r="B31" s="58" t="s">
        <v>631</v>
      </c>
      <c r="C31" s="58" t="s">
        <v>632</v>
      </c>
      <c r="D31" s="65" t="s">
        <v>627</v>
      </c>
      <c r="E31" s="62"/>
      <c r="F31" s="62"/>
      <c r="G31" s="66" t="s">
        <v>633</v>
      </c>
      <c r="H31" s="57">
        <v>46152.0</v>
      </c>
      <c r="I31" s="53" t="s">
        <v>48</v>
      </c>
      <c r="J31" s="53" t="s">
        <v>634</v>
      </c>
      <c r="K31" s="53"/>
      <c r="L31" s="53"/>
    </row>
    <row r="32">
      <c r="A32" s="58" t="s">
        <v>635</v>
      </c>
      <c r="B32" s="58" t="s">
        <v>636</v>
      </c>
      <c r="C32" s="58" t="s">
        <v>637</v>
      </c>
      <c r="D32" s="65" t="s">
        <v>638</v>
      </c>
      <c r="E32" s="62"/>
      <c r="F32" s="62"/>
      <c r="G32" s="66" t="s">
        <v>639</v>
      </c>
      <c r="H32" s="57">
        <v>46152.0</v>
      </c>
      <c r="I32" s="53" t="s">
        <v>48</v>
      </c>
      <c r="J32" s="53" t="s">
        <v>640</v>
      </c>
      <c r="K32" s="53"/>
      <c r="L32" s="53"/>
    </row>
    <row r="33">
      <c r="A33" s="58" t="s">
        <v>641</v>
      </c>
      <c r="B33" s="58" t="s">
        <v>642</v>
      </c>
      <c r="C33" s="58" t="s">
        <v>643</v>
      </c>
      <c r="D33" s="65" t="s">
        <v>644</v>
      </c>
      <c r="E33" s="62"/>
      <c r="F33" s="62"/>
      <c r="G33" s="66" t="s">
        <v>645</v>
      </c>
      <c r="H33" s="57">
        <v>46152.0</v>
      </c>
      <c r="I33" s="53" t="s">
        <v>48</v>
      </c>
      <c r="J33" s="53" t="s">
        <v>646</v>
      </c>
      <c r="K33" s="53"/>
      <c r="L33" s="53"/>
    </row>
  </sheetData>
  <mergeCells count="19">
    <mergeCell ref="B1:D2"/>
    <mergeCell ref="B3:D3"/>
    <mergeCell ref="B4:D4"/>
    <mergeCell ref="B5:D5"/>
    <mergeCell ref="A9:A10"/>
    <mergeCell ref="B9:B10"/>
    <mergeCell ref="C9:C10"/>
    <mergeCell ref="J11:L11"/>
    <mergeCell ref="A12:L12"/>
    <mergeCell ref="A24:L24"/>
    <mergeCell ref="A27:L27"/>
    <mergeCell ref="A17:L17"/>
    <mergeCell ref="D9:F10"/>
    <mergeCell ref="G9:G10"/>
    <mergeCell ref="H9:H10"/>
    <mergeCell ref="I9:I10"/>
    <mergeCell ref="J9:J10"/>
    <mergeCell ref="K9:K10"/>
    <mergeCell ref="L9:L10"/>
  </mergeCells>
  <hyperlinks>
    <hyperlink r:id="rId1" ref="G13"/>
    <hyperlink r:id="rId2" ref="G14"/>
    <hyperlink r:id="rId3" ref="G15"/>
    <hyperlink r:id="rId4" ref="G16"/>
    <hyperlink r:id="rId5" ref="G18"/>
    <hyperlink r:id="rId6" ref="L18"/>
    <hyperlink r:id="rId7" ref="G19"/>
    <hyperlink r:id="rId8" ref="G20"/>
    <hyperlink r:id="rId9" ref="G21"/>
    <hyperlink r:id="rId10" ref="G22"/>
    <hyperlink r:id="rId11" ref="G23"/>
    <hyperlink r:id="rId12" ref="G25"/>
    <hyperlink r:id="rId13" ref="G26"/>
    <hyperlink r:id="rId14" ref="G28"/>
    <hyperlink r:id="rId15" ref="G29"/>
    <hyperlink r:id="rId16" ref="G30"/>
    <hyperlink r:id="rId17" ref="G31"/>
    <hyperlink r:id="rId18" ref="G32"/>
    <hyperlink r:id="rId19" ref="G33"/>
  </hyperlinks>
  <drawing r:id="rId20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0"/>
    <col customWidth="1" min="3" max="3" width="22.63"/>
    <col customWidth="1" min="7" max="7" width="19.13"/>
  </cols>
  <sheetData>
    <row r="1">
      <c r="A1" s="97" t="s">
        <v>647</v>
      </c>
      <c r="B1" s="98"/>
      <c r="C1" s="13"/>
      <c r="D1" s="13"/>
      <c r="E1" s="13"/>
      <c r="F1" s="13"/>
      <c r="G1" s="13"/>
    </row>
    <row r="2">
      <c r="A2" s="99"/>
      <c r="B2" s="98"/>
      <c r="C2" s="13"/>
      <c r="D2" s="13"/>
      <c r="E2" s="13"/>
      <c r="F2" s="13"/>
      <c r="G2" s="13"/>
    </row>
    <row r="3">
      <c r="A3" s="100"/>
      <c r="B3" s="101" t="s">
        <v>648</v>
      </c>
      <c r="C3" s="101" t="s">
        <v>649</v>
      </c>
      <c r="D3" s="13"/>
      <c r="E3" s="13"/>
      <c r="F3" s="13"/>
      <c r="G3" s="13"/>
    </row>
    <row r="4">
      <c r="A4" s="100"/>
      <c r="B4" s="101" t="s">
        <v>650</v>
      </c>
      <c r="C4" s="102">
        <v>46162.0</v>
      </c>
      <c r="D4" s="13"/>
      <c r="E4" s="13"/>
      <c r="F4" s="13"/>
      <c r="G4" s="13"/>
    </row>
    <row r="5">
      <c r="A5" s="13"/>
      <c r="B5" s="13"/>
      <c r="C5" s="13"/>
      <c r="D5" s="13"/>
      <c r="E5" s="13"/>
      <c r="F5" s="13"/>
      <c r="G5" s="13"/>
    </row>
    <row r="6">
      <c r="A6" s="13"/>
      <c r="B6" s="13"/>
      <c r="C6" s="13"/>
      <c r="D6" s="13"/>
      <c r="E6" s="13"/>
      <c r="F6" s="13"/>
      <c r="G6" s="13"/>
    </row>
    <row r="7">
      <c r="A7" s="13"/>
      <c r="B7" s="103" t="s">
        <v>651</v>
      </c>
      <c r="C7" s="104" t="s">
        <v>652</v>
      </c>
      <c r="D7" s="105" t="s">
        <v>48</v>
      </c>
      <c r="E7" s="104" t="s">
        <v>50</v>
      </c>
      <c r="F7" s="104" t="s">
        <v>49</v>
      </c>
      <c r="G7" s="106" t="s">
        <v>653</v>
      </c>
    </row>
    <row r="8">
      <c r="A8" s="107"/>
      <c r="B8" s="108">
        <v>1.0</v>
      </c>
      <c r="C8" s="109" t="s">
        <v>654</v>
      </c>
      <c r="D8" s="110">
        <v>11.0</v>
      </c>
      <c r="E8" s="109">
        <v>0.0</v>
      </c>
      <c r="F8" s="109">
        <v>0.0</v>
      </c>
      <c r="G8" s="110">
        <f t="shared" ref="G8:G15" si="1">SUM(D8:F8)</f>
        <v>11</v>
      </c>
    </row>
    <row r="9">
      <c r="A9" s="107"/>
      <c r="B9" s="108">
        <v>2.0</v>
      </c>
      <c r="C9" s="109" t="s">
        <v>655</v>
      </c>
      <c r="D9" s="109">
        <v>9.0</v>
      </c>
      <c r="E9" s="109">
        <v>0.0</v>
      </c>
      <c r="F9" s="109">
        <v>0.0</v>
      </c>
      <c r="G9" s="110">
        <f t="shared" si="1"/>
        <v>9</v>
      </c>
    </row>
    <row r="10">
      <c r="A10" s="13"/>
      <c r="B10" s="108">
        <v>3.0</v>
      </c>
      <c r="C10" s="109" t="s">
        <v>656</v>
      </c>
      <c r="D10" s="111">
        <v>6.0</v>
      </c>
      <c r="E10" s="112">
        <v>0.0</v>
      </c>
      <c r="F10" s="112">
        <v>0.0</v>
      </c>
      <c r="G10" s="110">
        <f t="shared" si="1"/>
        <v>6</v>
      </c>
    </row>
    <row r="11">
      <c r="A11" s="13"/>
      <c r="B11" s="108">
        <v>4.0</v>
      </c>
      <c r="C11" s="109" t="s">
        <v>657</v>
      </c>
      <c r="D11" s="111">
        <v>13.0</v>
      </c>
      <c r="E11" s="112">
        <v>0.0</v>
      </c>
      <c r="F11" s="112">
        <v>0.0</v>
      </c>
      <c r="G11" s="110">
        <f t="shared" si="1"/>
        <v>13</v>
      </c>
    </row>
    <row r="12">
      <c r="A12" s="13"/>
      <c r="B12" s="108">
        <v>5.0</v>
      </c>
      <c r="C12" s="109" t="s">
        <v>658</v>
      </c>
      <c r="D12" s="111">
        <v>7.0</v>
      </c>
      <c r="E12" s="112">
        <v>0.0</v>
      </c>
      <c r="F12" s="112">
        <v>0.0</v>
      </c>
      <c r="G12" s="110">
        <f t="shared" si="1"/>
        <v>7</v>
      </c>
    </row>
    <row r="13">
      <c r="A13" s="13"/>
      <c r="B13" s="108">
        <v>6.0</v>
      </c>
      <c r="C13" s="109" t="s">
        <v>26</v>
      </c>
      <c r="D13" s="111">
        <v>9.0</v>
      </c>
      <c r="E13" s="112">
        <v>0.0</v>
      </c>
      <c r="F13" s="112">
        <v>0.0</v>
      </c>
      <c r="G13" s="110">
        <f t="shared" si="1"/>
        <v>9</v>
      </c>
    </row>
    <row r="14">
      <c r="A14" s="13"/>
      <c r="B14" s="108">
        <v>7.0</v>
      </c>
      <c r="C14" s="109" t="s">
        <v>659</v>
      </c>
      <c r="D14" s="111">
        <v>18.0</v>
      </c>
      <c r="E14" s="112">
        <v>0.0</v>
      </c>
      <c r="F14" s="112">
        <v>0.0</v>
      </c>
      <c r="G14" s="110">
        <f t="shared" si="1"/>
        <v>18</v>
      </c>
    </row>
    <row r="15">
      <c r="A15" s="13"/>
      <c r="B15" s="108">
        <v>8.0</v>
      </c>
      <c r="C15" s="109" t="s">
        <v>660</v>
      </c>
      <c r="D15" s="111">
        <v>18.0</v>
      </c>
      <c r="E15" s="112">
        <v>0.0</v>
      </c>
      <c r="F15" s="112">
        <v>0.0</v>
      </c>
      <c r="G15" s="110">
        <f t="shared" si="1"/>
        <v>18</v>
      </c>
    </row>
    <row r="16">
      <c r="A16" s="13"/>
      <c r="B16" s="113"/>
      <c r="C16" s="114" t="s">
        <v>661</v>
      </c>
      <c r="D16" s="115">
        <f>D8+D9+D10+D11+D12+D13+D14+D15</f>
        <v>91</v>
      </c>
      <c r="E16" s="115">
        <f>SUM(E8:E15)</f>
        <v>0</v>
      </c>
      <c r="F16" s="115">
        <v>0.0</v>
      </c>
      <c r="G16" s="116">
        <f>SUM(G8:G15)</f>
        <v>91</v>
      </c>
    </row>
    <row r="17">
      <c r="A17" s="13"/>
      <c r="B17" s="117"/>
      <c r="C17" s="13"/>
      <c r="D17" s="117"/>
      <c r="E17" s="117"/>
      <c r="F17" s="117"/>
      <c r="G17" s="117"/>
    </row>
    <row r="18">
      <c r="A18" s="13"/>
      <c r="B18" s="13"/>
      <c r="C18" s="101" t="s">
        <v>662</v>
      </c>
      <c r="D18" s="13"/>
      <c r="E18" s="118">
        <f>((D16+E16)/G16)*100</f>
        <v>100</v>
      </c>
      <c r="F18" s="101" t="s">
        <v>663</v>
      </c>
      <c r="G18" s="119"/>
    </row>
    <row r="19">
      <c r="A19" s="13"/>
      <c r="B19" s="13"/>
      <c r="C19" s="101" t="s">
        <v>664</v>
      </c>
      <c r="D19" s="13"/>
      <c r="E19" s="118">
        <f>(D16/G16)*100</f>
        <v>100</v>
      </c>
      <c r="F19" s="101" t="s">
        <v>663</v>
      </c>
      <c r="G19" s="119"/>
    </row>
  </sheetData>
  <drawing r:id="rId1"/>
</worksheet>
</file>