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AUTH" sheetId="2" r:id="rId6"/>
    <sheet state="visible" name="USER" sheetId="3" r:id="rId7"/>
    <sheet state="visible" name="ORD" sheetId="4" r:id="rId8"/>
    <sheet state="visible" name="PRO" sheetId="5" r:id="rId9"/>
    <sheet state="visible" name="STAT" sheetId="6" r:id="rId10"/>
    <sheet state="visible" name="HOME" sheetId="7" r:id="rId11"/>
    <sheet state="visible" name="API_PRO" sheetId="8" r:id="rId12"/>
    <sheet state="visible" name="API_ORD" sheetId="9" r:id="rId13"/>
    <sheet state="visible" name="TEST REPORT" sheetId="10" r:id="rId14"/>
  </sheets>
  <definedNames/>
  <calcPr/>
</workbook>
</file>

<file path=xl/sharedStrings.xml><?xml version="1.0" encoding="utf-8"?>
<sst xmlns="http://schemas.openxmlformats.org/spreadsheetml/2006/main" count="910" uniqueCount="638">
  <si>
    <t>TEST CASE</t>
  </si>
  <si>
    <t>Version:</t>
  </si>
  <si>
    <t>Issue date:</t>
  </si>
  <si>
    <t>Project Name:</t>
  </si>
  <si>
    <t>DiscountsManagement</t>
  </si>
  <si>
    <t>Project Code:</t>
  </si>
  <si>
    <t>DMS-01</t>
  </si>
  <si>
    <t>Record of change:</t>
  </si>
  <si>
    <t>Effective Date</t>
  </si>
  <si>
    <t>Version</t>
  </si>
  <si>
    <t>Change location</t>
  </si>
  <si>
    <t>Change description</t>
  </si>
  <si>
    <t>Originator</t>
  </si>
  <si>
    <t>Reviewer/
Approver</t>
  </si>
  <si>
    <t>Reference</t>
  </si>
  <si>
    <t>1.0</t>
  </si>
  <si>
    <t>AUTH, PRO</t>
  </si>
  <si>
    <t>Tạo test case cho chức năng Authentication và Promotion</t>
  </si>
  <si>
    <t>Dương Lê Kim Phụng</t>
  </si>
  <si>
    <t>Dương Hữu Thành</t>
  </si>
  <si>
    <t>AUTH - Authentication &amp; Registration, PRO - Promotion Create/Edit Validation</t>
  </si>
  <si>
    <t>1.1</t>
  </si>
  <si>
    <t>ORD, STA</t>
  </si>
  <si>
    <t>Bổ sung test case cho Order và Status Order</t>
  </si>
  <si>
    <t>ORD - Order Creation &amp; Discount Usage, STAT - Order Status, History &amp; Cancellation</t>
  </si>
  <si>
    <t>1.2</t>
  </si>
  <si>
    <t>HOME</t>
  </si>
  <si>
    <t>Cập nhật test case trang Home</t>
  </si>
  <si>
    <t>HOME - Home / Promotion List</t>
  </si>
  <si>
    <t>1.3</t>
  </si>
  <si>
    <t>API GET PRO</t>
  </si>
  <si>
    <t>Thêm test case API GET Promotion</t>
  </si>
  <si>
    <t xml:space="preserve">API PROMOTION - Promotion List / API </t>
  </si>
  <si>
    <t>1.4</t>
  </si>
  <si>
    <t>STATUS</t>
  </si>
  <si>
    <t>Cập nhật test case Status sau khi thêm chức năng khách hàng hủy đơn</t>
  </si>
  <si>
    <t>STAT - Order Status, History &amp; Cancellation</t>
  </si>
  <si>
    <t>1.5</t>
  </si>
  <si>
    <t>API POST PRO</t>
  </si>
  <si>
    <t>Thêm test case API POST Promotion</t>
  </si>
  <si>
    <t>API ORD</t>
  </si>
  <si>
    <t>Retest và bổ sung test case API Order sau khi fix lỗi chức năng tạo order</t>
  </si>
  <si>
    <t xml:space="preserve">API ORDER - Order List / API / </t>
  </si>
  <si>
    <t>https://docs.google.com/spreadsheets/d/1H0kBUBCjG8Yo2cHSmgkZvUed522hQ2V4T5Hsqj3oYzI/edit?gid=0#gid=0</t>
  </si>
  <si>
    <t>Module Code：</t>
  </si>
  <si>
    <t>AUTH - Authentication &amp; Registration</t>
  </si>
  <si>
    <t>Test requirement:</t>
  </si>
  <si>
    <t>Đăng ký/đăng nhập, validation số điện thoại, mật khẩu và xử lý phiên đăng nhập</t>
  </si>
  <si>
    <t>Pass</t>
  </si>
  <si>
    <t>Pending</t>
  </si>
  <si>
    <t>Fail</t>
  </si>
  <si>
    <t>Number of test cases:</t>
  </si>
  <si>
    <t>ID</t>
  </si>
  <si>
    <t>Test Case Description</t>
  </si>
  <si>
    <t>Test Case Procedure</t>
  </si>
  <si>
    <t>Expected Results</t>
  </si>
  <si>
    <t>Actual Results</t>
  </si>
  <si>
    <t>Test date</t>
  </si>
  <si>
    <t>Status</t>
  </si>
  <si>
    <t>Note</t>
  </si>
  <si>
    <t>Retest Status</t>
  </si>
  <si>
    <t>Retest Evidence</t>
  </si>
  <si>
    <t>1. Kiểm tra đăng ký tài khoản hợp lệ</t>
  </si>
  <si>
    <t>TC-AUTH-001</t>
  </si>
  <si>
    <t>Đăng ký với dữ liệu hợp lệ</t>
  </si>
  <si>
    <t>Mở /register; nhập phone 10 số chưa tồn tại, full name hợp lệ, password đủ mạnh, confirm đúng; nhấn Đăng ký</t>
  </si>
  <si>
    <t>Tạo tài khoản thành công và có thể đăng nhập</t>
  </si>
  <si>
    <t>TCAuth1.png</t>
  </si>
  <si>
    <t>Đăng ký thành công</t>
  </si>
  <si>
    <t>2. Kiểm tra validation mật khẩu</t>
  </si>
  <si>
    <t>TC-AUTH-002</t>
  </si>
  <si>
    <t>Biên dưới mật khẩu 7 ký tự</t>
  </si>
  <si>
    <t>Mở /register; nhập mật khẩu 7 ký tự; nhấn Đăng ký</t>
  </si>
  <si>
    <t>Hệ thống phải từ chối vì mật khẩu &lt; 8 ký tự</t>
  </si>
  <si>
    <t>TCAuth2-1.png TCAuth2-2.png</t>
  </si>
  <si>
    <t>Mật khẩu ngắn vẫn được chấp nhận (Issue #7)</t>
  </si>
  <si>
    <t>TCAuthSauRetest.png</t>
  </si>
  <si>
    <t>TC-AUTH-003</t>
  </si>
  <si>
    <t>Biên đúng mật khẩu 8 ký tự</t>
  </si>
  <si>
    <t>Nhập mật khẩu đúng 8 ký tự gồm hoa, thường, số, ký tự đặc biệt</t>
  </si>
  <si>
    <t>Chấp nhận đăng ký</t>
  </si>
  <si>
    <t>TCAuth3.png</t>
  </si>
  <si>
    <t>Chấp nhận đúng độ dài tối thiểu</t>
  </si>
  <si>
    <t>TC-AUTH-004</t>
  </si>
  <si>
    <t>Mật khẩu chỉ gồm số</t>
  </si>
  <si>
    <t>Nhập mật khẩu 12345678 cho đăng ký</t>
  </si>
  <si>
    <t>Từ chối vì không đủ độ mạnh</t>
  </si>
  <si>
    <t>TCAuth4-1.png TCAuth4-2.png</t>
  </si>
  <si>
    <t>Hệ thống chưa kiểm tra độ mạnh mật khẩu (Issue #7)</t>
  </si>
  <si>
    <t>TC-AUTH-005</t>
  </si>
  <si>
    <t>Mật khẩu thiếu ký tự đặc biệt</t>
  </si>
  <si>
    <t>Nhập mật khẩu 123Abcde cho đăng ký</t>
  </si>
  <si>
    <t>Từ chối vì thiếu ký tự đặc biệt</t>
  </si>
  <si>
    <t>TCAuth5-1.png TCAuth5-2.png</t>
  </si>
  <si>
    <t>Chưa kiểm tra đủ ký tự đặc biệt trong mật khẩu (Issue #7)</t>
  </si>
  <si>
    <t>TC-AUTH-006</t>
  </si>
  <si>
    <t>Xác nhận mật khẩu không khớp</t>
  </si>
  <si>
    <t>Nhập password và confirm khác nhau</t>
  </si>
  <si>
    <t>Từ chối đăng ký và hiển thị thông báo</t>
  </si>
  <si>
    <t>TCAuth6.png</t>
  </si>
  <si>
    <t>Mật khẩu xác nhận không khớp</t>
  </si>
  <si>
    <t>3. Kiểm tra validation số điện thoại</t>
  </si>
  <si>
    <t>TC-AUTH-007</t>
  </si>
  <si>
    <t>Số điện thoại 9 số</t>
  </si>
  <si>
    <t>Nhập phone 9 số và các trường còn lại hợp lệ</t>
  </si>
  <si>
    <t>Từ chối vì sai độ dài số điện thoại</t>
  </si>
  <si>
    <t>TCAuth7.png</t>
  </si>
  <si>
    <t>Số điện thoại không hợp lệ</t>
  </si>
  <si>
    <t>TC-AUTH-008</t>
  </si>
  <si>
    <t>Số điện thoại 11 số</t>
  </si>
  <si>
    <t>Mở /register; nhập phone 00123456789, các trường còn lại hợp lệ; nhấn Đăng ký</t>
  </si>
  <si>
    <t>Hệ thống từ chối đăng ký và hiển thị thông báo số điện thoại không hợp lệ</t>
  </si>
  <si>
    <t>TCAuth8-1.png TCAuth8-2.png</t>
  </si>
  <si>
    <t>Định dạng số điện thoại không hợp lệ</t>
  </si>
  <si>
    <t>TC-AUTH-009</t>
  </si>
  <si>
    <t>Số điện thoại chứa chữ</t>
  </si>
  <si>
    <t>Nhập 09abc12345</t>
  </si>
  <si>
    <t>Từ chối vì không đúng định dạng</t>
  </si>
  <si>
    <t>TCAuth9.png</t>
  </si>
  <si>
    <t>Kiểm tra định dạng số điện thoại</t>
  </si>
  <si>
    <t>TC-AUTH-010</t>
  </si>
  <si>
    <t>Đăng ký với số điện thoại đã tồn tại</t>
  </si>
  <si>
    <t>Mở /register; nhập số điện thoại đã có tài khoản, nhập full name, password và confirm hợp lệ; nhấn Đăng ký</t>
  </si>
  <si>
    <t>Hệ thống từ chối đăng ký và hiển thị thông báo số điện thoại đã tồn tại</t>
  </si>
  <si>
    <t>TCAuth10.png</t>
  </si>
  <si>
    <t>Kiểm tra số điện thoại trùng</t>
  </si>
  <si>
    <t>4. Kiểm tra chức năng đăng nhập</t>
  </si>
  <si>
    <t>TC-AUTH-011</t>
  </si>
  <si>
    <t>Đăng nhập sai mật khẩu</t>
  </si>
  <si>
    <t>Mở /login; nhập account hợp lệ nhưng sai password</t>
  </si>
  <si>
    <t>Không đăng nhập, thông báo lỗi</t>
  </si>
  <si>
    <t>TCAuth11.png</t>
  </si>
  <si>
    <t>Sai tài khoản hoặc mật khẩu</t>
  </si>
  <si>
    <t>System Name：</t>
  </si>
  <si>
    <t>USER - User Management &amp; Authorization</t>
  </si>
  <si>
    <t>Quản lý người dùng màn Admin/User và phân quyền guest-customer-admin</t>
  </si>
  <si>
    <t>1. Kiểm tra quản lý user</t>
  </si>
  <si>
    <t>TC-USER-001</t>
  </si>
  <si>
    <t>Đổi quyền ADMIN xuống CUSTOMER không xác nhận</t>
  </si>
  <si>
    <t>Admin sửa user role từ ADMIN thành CUSTOMER; nhấn Save</t>
  </si>
  <si>
    <t>Hệ thống nên hiển thị cảnh báo hoặc yêu cầu xác nhận khi thay đổi role ADMIN (Issue #10)</t>
  </si>
  <si>
    <t xml:space="preserve">TCUser1-1.pngTCUser1-2.png </t>
  </si>
  <si>
    <t>Không có xác nhận và được cho phép</t>
  </si>
  <si>
    <t>TCUser1SauRestest.png</t>
  </si>
  <si>
    <t>TC-USER-002</t>
  </si>
  <si>
    <t>Tạo user hợp lệ</t>
  </si>
  <si>
    <t>Admin &gt; User &gt; Create; nhập dữ liệu hợp lệ; lưu</t>
  </si>
  <si>
    <t>Tạo user thành công</t>
  </si>
  <si>
    <t>TCUser2.png</t>
  </si>
  <si>
    <t>TC-USER-003</t>
  </si>
  <si>
    <t>Admin xem danh sách user</t>
  </si>
  <si>
    <t>Đăng nhập admin; mở Admin &gt; User &gt; List</t>
  </si>
  <si>
    <t>Danh sách user hiển thị đầy đủ</t>
  </si>
  <si>
    <t>TCUser3.png</t>
  </si>
  <si>
    <t>Hiển thị danh sách user</t>
  </si>
  <si>
    <t>TC-USER-004</t>
  </si>
  <si>
    <t>Sửa user với phone trùng</t>
  </si>
  <si>
    <t>Admin sửa user A sang số điện thoại đã tồn tại ở user B</t>
  </si>
  <si>
    <t>Từ chối lưu do phone trùng</t>
  </si>
  <si>
    <t>TCUser4.png</t>
  </si>
  <si>
    <t>Kiểm tra trùng số điện thoại</t>
  </si>
  <si>
    <t>TC-USER-005</t>
  </si>
  <si>
    <t>Bỏ trống full name khi tạo user</t>
  </si>
  <si>
    <t>Admin tạo user nhưng để trống họ tên</t>
  </si>
  <si>
    <t>Từ chối lưu và báo lỗi bắt buộc</t>
  </si>
  <si>
    <t>TCUser5.png</t>
  </si>
  <si>
    <t>Báo lỗi khi thiếu họ tên</t>
  </si>
  <si>
    <t>TC-USER-006</t>
  </si>
  <si>
    <t>Bật/tắt active user</t>
  </si>
  <si>
    <t>Sửa trạng thái active của một user</t>
  </si>
  <si>
    <t>Trạng thái được lưu đúng</t>
  </si>
  <si>
    <t>TCUser6.png</t>
  </si>
  <si>
    <t>Cập nhật trạng thái thành công</t>
  </si>
  <si>
    <t>TC-USER-007</t>
  </si>
  <si>
    <t>Tìm kiếm user theo tên hoặc số điện thoại</t>
  </si>
  <si>
    <t>Đăng nhập admin; mở trang quản lý user; nhập tên hoặc số điện thoại vào ô tìm kiếm; nhấn tìm kiếm</t>
  </si>
  <si>
    <t>Hiển thị đúng user khớp với từ khóa tìm kiếm</t>
  </si>
  <si>
    <t>TCUser7.png</t>
  </si>
  <si>
    <t>Hiển thị đúng user theo từ khóa</t>
  </si>
  <si>
    <t>2. Kiểm tra phân quyền truy cập</t>
  </si>
  <si>
    <t>TC-USER-008</t>
  </si>
  <si>
    <t>Customer truy cập trực tiếp URL quản lý user</t>
  </si>
  <si>
    <t>Đăng nhập customer; mở trực tiếp /admin/user</t>
  </si>
  <si>
    <t>Không thể truy cập</t>
  </si>
  <si>
    <t>TCUser8.png</t>
  </si>
  <si>
    <t>Không có quyền truy cập</t>
  </si>
  <si>
    <t>TC-USER-009</t>
  </si>
  <si>
    <t>Guest truy cập trực tiếp URL quản lý user</t>
  </si>
  <si>
    <t>Không đăng nhập; mở /admin/user</t>
  </si>
  <si>
    <t>Không thể mở</t>
  </si>
  <si>
    <t>TCUser9.png</t>
  </si>
  <si>
    <t>Chặn truy cập khi chưa đăng nhập</t>
  </si>
  <si>
    <t>ORD - Order Creation &amp; Discount Usage</t>
  </si>
  <si>
    <t>Tạo đơn hàng, áp dụng mã giảm giá và cập nhật số lượt sử dụng</t>
  </si>
  <si>
    <t>1. Kiểm tra tạo order hợp lệ</t>
  </si>
  <si>
    <t>TC-ORD-001</t>
  </si>
  <si>
    <t>Tạo đơn không dùng mã</t>
  </si>
  <si>
    <t>Đăng nhập customer; mở /order/create; nhập amount hợp lệ; tạo đơn</t>
  </si>
  <si>
    <t>Tạo đơn thành công, tổng tiền giữ nguyên</t>
  </si>
  <si>
    <t>TCOrd1.png</t>
  </si>
  <si>
    <t>Order được tạo thành công, trạng thái mặc định là "Chờ xử lý".</t>
  </si>
  <si>
    <t>TC-ORD-002</t>
  </si>
  <si>
    <t>Áp dụng COUPON hợp lệ</t>
  </si>
  <si>
    <t>Đăng nhập customer; tạo order đủ min_order; nhập mã COUPON hợp lệ; tạo đơn</t>
  </si>
  <si>
    <t>Tính discount đúng theo value nhưng không vượt max_discount</t>
  </si>
  <si>
    <t>TCOrd2.png</t>
  </si>
  <si>
    <t>Coupon được áp dụng đúng, tổng tiền giảm theo giá trị coupon.</t>
  </si>
  <si>
    <t>TC-ORD-003</t>
  </si>
  <si>
    <t>Áp dụng VOUCHER hợp lệ</t>
  </si>
  <si>
    <t>Đăng nhập customer; tạo order đủ min_order; nhập mã VOUCHER hợp lệ; tạo đơn</t>
  </si>
  <si>
    <t>Giảm đúng số tiền voucher</t>
  </si>
  <si>
    <t>TCOrd3.png</t>
  </si>
  <si>
    <t>Voucher hoạt động đúng với điều kiện tối thiểu đơn hàng.</t>
  </si>
  <si>
    <t>2. Kiểm tra boundary và business rule của promotion</t>
  </si>
  <si>
    <t>TC-ORD-004</t>
  </si>
  <si>
    <t>Amount đúng bằng min_order</t>
  </si>
  <si>
    <t>Nhập amount=min_order</t>
  </si>
  <si>
    <t>Mã được áp dụng</t>
  </si>
  <si>
    <t>TCOrd4-1.png TCOrd4-2.png</t>
  </si>
  <si>
    <t>Hệ thống hiển thị đúng mã giảm giá theo từ khóa tìm kiếm.</t>
  </si>
  <si>
    <t>TC-ORD-005</t>
  </si>
  <si>
    <t>Một đơn thành công chỉ trừ 1 lượt</t>
  </si>
  <si>
    <t>Tạo đơn với mã SUPER40 còn 8 lượt; tạo đơn thành công; kiểm tra availability</t>
  </si>
  <si>
    <t>Chỉ giảm đúng 1 lượt</t>
  </si>
  <si>
    <t>TCOrd5-1.png TCOrd5-2.png</t>
  </si>
  <si>
    <t>Availability của mã giảm giá giảm sai sau khi tạo đơn hàng (Issue #16)</t>
  </si>
  <si>
    <t>TCOrd5-1SauRetest.png TCOrd5-2SauRetest.png</t>
  </si>
  <si>
    <t>TC-ORD-006</t>
  </si>
  <si>
    <t>Dùng mã hết lượt</t>
  </si>
  <si>
    <t>Chọn promotion có availability=0</t>
  </si>
  <si>
    <t>Không cho áp dụng/tạo đơn với mã này hoặc không hiện mã hết hạn trong khung lựa chọn</t>
  </si>
  <si>
    <t>TCOrd6.png</t>
  </si>
  <si>
    <t>Hệ thống không hiện promotion đã hết lượt sử dụng.</t>
  </si>
  <si>
    <t>PRO - Promotion Create/Edit Validation</t>
  </si>
  <si>
    <t>Tạo/sửa promotion coupon-voucher, kiểm tra biên và ràng buộc nghiệp vụ</t>
  </si>
  <si>
    <t>1. Kiểm tra tạo promotion hợp lệ</t>
  </si>
  <si>
    <t>TC-PRO-001</t>
  </si>
  <si>
    <t>Tạo COUPON hợp lệ</t>
  </si>
  <si>
    <t>Admin &gt; Promotion &gt; Create; type=COUPON, value=0.2, max_discount=20000, min_order=50000, availability=5, start&lt;expire</t>
  </si>
  <si>
    <t>Tạo promotion thành công</t>
  </si>
  <si>
    <t>TCPro1.png</t>
  </si>
  <si>
    <t>TC-PRO-002</t>
  </si>
  <si>
    <t>Tạo VOUCHER hợp lệ</t>
  </si>
  <si>
    <t>Type=VOUCHER, value=10000, max_discount=10000, min_order=50000, availability=5</t>
  </si>
  <si>
    <t>Tạo thành công</t>
  </si>
  <si>
    <t>TCPro2.png</t>
  </si>
  <si>
    <t>Lưu promotion hợp lệ</t>
  </si>
  <si>
    <t>2. Kiểm tra boundary value của COUPON</t>
  </si>
  <si>
    <t>TC-PRO-003</t>
  </si>
  <si>
    <t>Biên COUPON value = 0</t>
  </si>
  <si>
    <t>Tạo COUPON với value=0</t>
  </si>
  <si>
    <t>Hệ thống hiển thị lỗi và không cho lưu coupon với value &lt;= 0</t>
  </si>
  <si>
    <t>TCPro3.png</t>
  </si>
  <si>
    <t>Hệ thống vẫn cho tạo coupon với value = 0. (Issue #6)</t>
  </si>
  <si>
    <t>TCPro3SauRetest.png</t>
  </si>
  <si>
    <t>TC-PRO-004</t>
  </si>
  <si>
    <t>Biên COUPON value = 0.5</t>
  </si>
  <si>
    <t>Tạo COUPON với value=0.5</t>
  </si>
  <si>
    <t>Được chấp nhận nếu các trường khác hợp lệ</t>
  </si>
  <si>
    <t>TCPro4.png</t>
  </si>
  <si>
    <t>Chấp nhận dữ liệu hợp lệ</t>
  </si>
  <si>
    <t>TC-PRO-005</t>
  </si>
  <si>
    <t>Biên COUPON value = 0.6</t>
  </si>
  <si>
    <t>Tạo COUPON với value=0.6</t>
  </si>
  <si>
    <t>Hệ thống không cho tạo coupon có value lớn hơn 50%</t>
  </si>
  <si>
    <t>TCPro5.png</t>
  </si>
  <si>
    <t>Coupon vượt quá mức giảm 50% nhưng vẫn được lưu. (Issue #6)</t>
  </si>
  <si>
    <t>TCPro5SauRetest.png</t>
  </si>
  <si>
    <t>3. Kiểm tra validation dữ liệu promotion</t>
  </si>
  <si>
    <t>TC-PRO-006</t>
  </si>
  <si>
    <t>Tạo VOUCHER với value=0.6</t>
  </si>
  <si>
    <t>Phải từ chối vì voucher cần số tiền cố định hợp lệ</t>
  </si>
  <si>
    <t>TCPro6.png</t>
  </si>
  <si>
    <t>Voucher nhập sai kiểu giá trị nhưng hệ thống chưa validate. (Issue #13)</t>
  </si>
  <si>
    <t>TCPro6SauRetest.png</t>
  </si>
  <si>
    <t>TC-PRO-007</t>
  </si>
  <si>
    <t>Kiểm tra tính nhất quán giữa discount value và max discount của COUPON</t>
  </si>
  <si>
    <t>Tạo COUPON, value=0.5, max_discount=0.2, min_order=1000000</t>
  </si>
  <si>
    <t>Phải từ chối vì dữ liệu mâu thuẫn</t>
  </si>
  <si>
    <t>TCPro7.png</t>
  </si>
  <si>
    <t>Hệ thống chưa kiểm tra tính hợp lệ giữa value và max discount. (Issue #14)</t>
  </si>
  <si>
    <t>TCPro7SauRetest.png</t>
  </si>
  <si>
    <t>TC-PRO-008</t>
  </si>
  <si>
    <t>Ngày hết hạn nhỏ hơn ngày bắt đầu</t>
  </si>
  <si>
    <t>start_date &gt; expire_date</t>
  </si>
  <si>
    <t>Hệ thống hiển thị lỗi khi ngày hết hạn nhỏ hơn ngày bắt đầu.</t>
  </si>
  <si>
    <t>TCPro8.png</t>
  </si>
  <si>
    <t>Ngày hết hạn nhỏ hơn ngày bắt đầu nhưng hệ thống vẫn cho tạo promotion. (Issue #6)</t>
  </si>
  <si>
    <t>TCPro8-1SauRestest.png TCPro8-2SauRetest.png</t>
  </si>
  <si>
    <t>TC-PRO-009</t>
  </si>
  <si>
    <t>Availability âm</t>
  </si>
  <si>
    <t>availability=-10</t>
  </si>
  <si>
    <t>Hệ thống không cho nhập availability nhỏ hơn 0.</t>
  </si>
  <si>
    <t>TCPro9.png</t>
  </si>
  <si>
    <t>Availability âm nhưng vẫn được chấp nhận. (Issue #6)</t>
  </si>
  <si>
    <t>TCPro9-1SauRetest.png TCPro9-2SauRetest.png</t>
  </si>
  <si>
    <t>TC-PRO-010</t>
  </si>
  <si>
    <t>Min order âm</t>
  </si>
  <si>
    <t>min_order=-10000</t>
  </si>
  <si>
    <t>Hệ thống hiển thị lỗi khi min order nhỏ hơn 0.</t>
  </si>
  <si>
    <t>TCPro10.png</t>
  </si>
  <si>
    <t>Min order âm nhưng hệ thống chưa chặn dữ liệu. (Issue #6)</t>
  </si>
  <si>
    <t>TCPro10-1SauRetest.png TCPro10-2SauRetest.png</t>
  </si>
  <si>
    <t>TC-PRO-011</t>
  </si>
  <si>
    <t>Biên availability = 0</t>
  </si>
  <si>
    <t>Tạo promotion với availability=0</t>
  </si>
  <si>
    <t>Hệ thống không xử lý được availability = 0</t>
  </si>
  <si>
    <t>TCPro11.png</t>
  </si>
  <si>
    <t>Hệ thống xử lý không ổn khi availability = 0 (Issue #6)</t>
  </si>
  <si>
    <t>TCPro11-1SauRetest.png TCPro11-2SauRetest.png</t>
  </si>
  <si>
    <t>TC-PRO-012</t>
  </si>
  <si>
    <t>Mã promotion trùng</t>
  </si>
  <si>
    <t>Tạo promotion với code đã tồn tại</t>
  </si>
  <si>
    <t>Từ chối do code trùng</t>
  </si>
  <si>
    <t>TCPro12.png</t>
  </si>
  <si>
    <t>Hệ thống đã chặn đúng trường hợp mã promotion bị trùng</t>
  </si>
  <si>
    <t>Vì coupon và voucher dùng chung chức năng tạo promotion và chung validation logic, nên với một số trường hợp validation giống nhau chọn test đại diện trên một loại promotion để tránh testcase bị lặp quá nhiều.</t>
  </si>
  <si>
    <t>Sau khi hệ thống được fix lỗi, đã retest lại trên cả coupon và voucher để kiểm tra regression và đảm bảo validation hoạt động đúng cho cả hai loại promotion.</t>
  </si>
  <si>
    <t>Lịch sử đơn hàng, cập nhật trạng thái và hoàn lượt sử dụng promotion</t>
  </si>
  <si>
    <t>1. Kiểm tra lịch sử đơn hàng</t>
  </si>
  <si>
    <t>TC-STAT-001</t>
  </si>
  <si>
    <t>Customer xem lịch sử đơn của chính mình</t>
  </si>
  <si>
    <t>Đăng nhập customer; mở /orders/history</t>
  </si>
  <si>
    <t>Chỉ hiển thị đơn của user hiện tại</t>
  </si>
  <si>
    <t>TCStat1.png</t>
  </si>
  <si>
    <t>Kiểm tra phân quyền lịch sử đơn hàng theo customer</t>
  </si>
  <si>
    <t>TC-STAT-002</t>
  </si>
  <si>
    <t>Lịch sử sắp xếp mới nhất</t>
  </si>
  <si>
    <t>Đăng nhập customer; truy cập /orders_history; chọn sắp xếp Mới nhất</t>
  </si>
  <si>
    <t>Danh sách hiển thị đơn mới nhất lên đầu</t>
  </si>
  <si>
    <t>TCStat2.png</t>
  </si>
  <si>
    <t>Danh sách lịch sử hiển thị đúng thứ tự mới nhất</t>
  </si>
  <si>
    <t>2. Kiểm tra hủy đơn và hoàn lượt promotion</t>
  </si>
  <si>
    <t>TC-STAT-003</t>
  </si>
  <si>
    <t>Customer hủy đơn ở trạng thái PENDING</t>
  </si>
  <si>
    <t>Đăng nhập customer; vào /orders_history; chọn đơn trạng thái PENDING; nhấn Hủy</t>
  </si>
  <si>
    <t>Nếu có chức năng hủy, chỉ cho phép với đơn PENDING và của chính khách hàng</t>
  </si>
  <si>
    <t>TCStat3.png</t>
  </si>
  <si>
    <t>Issue #15 là đề xuất cải tiến, Customer chỉ được hủy đơn của chính mình ở trạng thái PENDING</t>
  </si>
  <si>
    <t>TC-STAT-004</t>
  </si>
  <si>
    <t>Hủy đơn phải hoàn lại lượt sử dụng mã</t>
  </si>
  <si>
    <t>Đăng nhập customer; tạo đơn có áp dụng promotion tại /; vào /orders_history; hủy đơn vừa tạo</t>
  </si>
  <si>
    <t>Hệ thống hoàn lại đúng 1 lượt sử dụng promotion sau khi hủy đơn</t>
  </si>
  <si>
    <t>TCStat4-1.pngTCStat4-2.png TCStat4-3.png</t>
  </si>
  <si>
    <t>Số lượt được hoàn lại sau khi hủy đơn</t>
  </si>
  <si>
    <t>3. Kiểm tra cập nhật trạng thái order</t>
  </si>
  <si>
    <t>TC-STAT-005</t>
  </si>
  <si>
    <t>Cập nhật đơn PENDING sang COMPLETED không làm thay đổi lượt mã</t>
  </si>
  <si>
    <t>Đăng nhập admin; truy cập /admin/order/; cập nhật đơn từ PENDING sang trạng thái COMPLETED</t>
  </si>
  <si>
    <t>Hệ thống cập nhật trạng thái thành COMPLETED và không hoàn lại lượt sử dụng promotion.</t>
  </si>
  <si>
    <t>TCStat5-1.png TCStat5-2.png TCStat5-3.png</t>
  </si>
  <si>
    <t>Không hoàn lượt promotion sau khi đơn được hoàn thành.</t>
  </si>
  <si>
    <t>TC-STAT-006</t>
  </si>
  <si>
    <t>Không cho cập nhật trạng thái COMPLETED về PENDING</t>
  </si>
  <si>
    <t>Đăng nhập admin; truy cập /admin/order/; chọn đơn COMPLETED; thử cập nhật về PENDING</t>
  </si>
  <si>
    <t>Hệ thống từ chối cập nhật vì đơn đã hoàn tất không được quay lại PENDING</t>
  </si>
  <si>
    <t>TCStat6.png</t>
  </si>
  <si>
    <t>Hệ thống chặn cập nhật từ COMPLETED về PENDING</t>
  </si>
  <si>
    <t>4. Kiểm tra phân quyền truy cập</t>
  </si>
  <si>
    <t>TC-STAT-007</t>
  </si>
  <si>
    <t>Đăng nhập customer; nhập trực tiếp URL /admin/order/ trên thanh địa chỉ</t>
  </si>
  <si>
    <t>Đăng nhập customer; truy cập trực tiếp /admin/order/</t>
  </si>
  <si>
    <t>Hệ thống redirect về trang đăng nhập hoặc từ chối truy cập admin route</t>
  </si>
  <si>
    <t>TCStat7.png</t>
  </si>
  <si>
    <t>Customer bị từ chối khi truy cập admin route</t>
  </si>
  <si>
    <t>Hiển thị danh sách promotion, tìm kiếm, sắp xếp và điều hướng tạo đơn hàng</t>
  </si>
  <si>
    <t>1. Kiểm tra hiển thị promotion</t>
  </si>
  <si>
    <t>TC-HOME-001</t>
  </si>
  <si>
    <t>Hiển thị danh sách promotion</t>
  </si>
  <si>
    <t>Đăng nhập customer; mở trang chủ /</t>
  </si>
  <si>
    <t>Hiển thị danh sách promotion còn hiệu lực</t>
  </si>
  <si>
    <t>TCHome1.png</t>
  </si>
  <si>
    <t>TC-HOME-002</t>
  </si>
  <si>
    <t>Hiển thị thông tin promotion</t>
  </si>
  <si>
    <t>Quan sát từng promotion</t>
  </si>
  <si>
    <t>Hiển thị code, loại mã, số lượng còn lại, HSD, đơn tối thiểu, giảm tối đa</t>
  </si>
  <si>
    <t>TCHome2.png</t>
  </si>
  <si>
    <t>Kiểm tra thông tin promotion</t>
  </si>
  <si>
    <t>2. Kiểm tra tìm kiếm và sắp xếp</t>
  </si>
  <si>
    <t>TC-HOME-003</t>
  </si>
  <si>
    <t>Tìm kiếm promotion theo code hợp lệ</t>
  </si>
  <si>
    <t>Nhập SUPER40; nhấn Tìm kiếm</t>
  </si>
  <si>
    <t>Chỉ hiển thị promotion có code SUPER40</t>
  </si>
  <si>
    <t>TCHome3.png</t>
  </si>
  <si>
    <t>Tìm kiếm theo mã promotion</t>
  </si>
  <si>
    <t>TC-HOME-004</t>
  </si>
  <si>
    <t>Tìm kiếm promotion không tồn tại</t>
  </si>
  <si>
    <t>Nhập mã không tồn tại như ABCXYZ; nhấn Tìm kiếm</t>
  </si>
  <si>
    <t>Không hiển thị promotion không khớp</t>
  </si>
  <si>
    <t>Kiểm tra mã không tồn tại</t>
  </si>
  <si>
    <t>TC-HOME-005</t>
  </si>
  <si>
    <t>Tìm kiếm với ô trống</t>
  </si>
  <si>
    <t>Để trống ô tìm kiếm; nhấn Tìm kiếm</t>
  </si>
  <si>
    <t>Hiển thị lại danh sách promotion mặc định</t>
  </si>
  <si>
    <t>TCHome5.png</t>
  </si>
  <si>
    <t>Tìm kiếm rỗng</t>
  </si>
  <si>
    <t>TC-HOME-006</t>
  </si>
  <si>
    <t>Sắp xếp theo mới nhất</t>
  </si>
  <si>
    <t>Chọn mã “Mới nhất”</t>
  </si>
  <si>
    <t>Danh sách được sắp xếp theo promotion mới nhất</t>
  </si>
  <si>
    <t>TCHome6.png</t>
  </si>
  <si>
    <t>Sắp xếp mới nhất</t>
  </si>
  <si>
    <t>TC-HOME-007</t>
  </si>
  <si>
    <t>Sắp xếp theo sắp hết hạn</t>
  </si>
  <si>
    <t>Chọn mã “Sắp hết hạn”</t>
  </si>
  <si>
    <t>Promotion gần hết hạn được ưu tiên hiển thị trước</t>
  </si>
  <si>
    <t>TCHome7.png</t>
  </si>
  <si>
    <t>Sắp xếp theo hạn sử dụng</t>
  </si>
  <si>
    <t>3. Kiểm tra điều hướng</t>
  </si>
  <si>
    <t>TC-HOME-008</t>
  </si>
  <si>
    <t>Điều hướng sang tạo đơn hàng</t>
  </si>
  <si>
    <t>Nhấn menu “Tạo đơn hàng”</t>
  </si>
  <si>
    <t>Chuyển sang trang tạo đơn hàng</t>
  </si>
  <si>
    <t>TCHome8.png</t>
  </si>
  <si>
    <t>Điều hướng tạo đơn</t>
  </si>
  <si>
    <t>TC-HOME-009</t>
  </si>
  <si>
    <t>Đăng xuất từ trang chủ</t>
  </si>
  <si>
    <t>Nhấn “Đăng xuất”</t>
  </si>
  <si>
    <t>Đăng xuất thành công và quay về trang đăng nhập/trang public</t>
  </si>
  <si>
    <t>TCHome9.png</t>
  </si>
  <si>
    <t>Kiểm tra đăng xuất</t>
  </si>
  <si>
    <t>Danh sách promotion, filter, phân trang và endpoint GET và POST /api/promotions</t>
  </si>
  <si>
    <t>1. Kiểm tra GET danh sách promotion</t>
  </si>
  <si>
    <t>TC-API-001</t>
  </si>
  <si>
    <t>GET danh sách promotion mặc định</t>
  </si>
  <si>
    <t>GET /api/promotions</t>
  </si>
  <si>
    <t>Trả về danh sách mặc định, status 200</t>
  </si>
  <si>
    <t>TCAPIPro1.png</t>
  </si>
  <si>
    <t>GET promotion list thành công</t>
  </si>
  <si>
    <t>TC-API-002</t>
  </si>
  <si>
    <t>GET promotion theo code</t>
  </si>
  <si>
    <t>GET /api/promotions?code=55</t>
  </si>
  <si>
    <t>Chỉ trả về promotion có code 55</t>
  </si>
  <si>
    <t>TCAPIPro2.png</t>
  </si>
  <si>
    <t>GET promotion theo code thành công</t>
  </si>
  <si>
    <t>TC-API-003</t>
  </si>
  <si>
    <t>GET promotion với amount hợp lệ</t>
  </si>
  <si>
    <t>GET /api/promotions?amount=50000</t>
  </si>
  <si>
    <t>Chỉ trả về các promotion thỏa điều kiện amount</t>
  </si>
  <si>
    <t>TCAPIPro3.png</t>
  </si>
  <si>
    <t>GET promotion với amount trả sai dữ liệu(#Issue 28)</t>
  </si>
  <si>
    <t>TCAPIPro3SauRetest.png</t>
  </si>
  <si>
    <t>TC-API-004</t>
  </si>
  <si>
    <t>GET promotion theo amount không hợp lệ</t>
  </si>
  <si>
    <t>GET /api/promotions?amount=-1</t>
  </si>
  <si>
    <t>Giá trị amount không hợp lệ phải được xử lý rõ ràng hoặc không trả dữ liệu mặc định như request hợp lệ</t>
  </si>
  <si>
    <t>TCAPIPro4.png</t>
  </si>
  <si>
    <t>GET promotion với amount âm vẫn xử lý(#Issue 28)</t>
  </si>
  <si>
    <t>TCAPIOrd4SauRetest.png</t>
  </si>
  <si>
    <t>TC-API-005</t>
  </si>
  <si>
    <t>GET promotion theo type không hợp lệ</t>
  </si>
  <si>
    <t>GET /api/promotions?ptype=ABC</t>
  </si>
  <si>
    <t>Trả về danh sách rỗng khi ptype không hợp lệ</t>
  </si>
  <si>
    <t>TCAPIPro5.png</t>
  </si>
  <si>
    <t>GET promotion với type không hợp lệ trả rỗng đúng</t>
  </si>
  <si>
    <t>TC-API-006</t>
  </si>
  <si>
    <t>GET promotion theo type hợp lệ</t>
  </si>
  <si>
    <t>GET /api/promotions?ptype=VOUCHER</t>
  </si>
  <si>
    <t>API chỉ trả về các promotion có promotion_type = VOUCHER</t>
  </si>
  <si>
    <t>TCAPIPro6.png</t>
  </si>
  <si>
    <t>GET promotion theo type thành công</t>
  </si>
  <si>
    <t>TC-API-007</t>
  </si>
  <si>
    <t>GET promotion phân trang với page = 0</t>
  </si>
  <si>
    <t>GET /api/promotions?page=0</t>
  </si>
  <si>
    <t>Giá trị page không hợp lệ phải được xử lý rõ ràng, không nên trả như request hợp lệ</t>
  </si>
  <si>
    <t>TCAPIPro7.png</t>
  </si>
  <si>
    <t>GET promotion với page = 0 vẫn trả dữ liệu(#Issue 29)</t>
  </si>
  <si>
    <t>TCAPIPro7SauRetest.png</t>
  </si>
  <si>
    <t>TC-API-008</t>
  </si>
  <si>
    <t>GET promotion phân trang với page âm</t>
  </si>
  <si>
    <t>GET /api/promotions?page=-1</t>
  </si>
  <si>
    <t>Giá trị page âm phải được xử lý rõ ràng, không nên trả như request hợp lệ</t>
  </si>
  <si>
    <t>TCAPIPro8.png</t>
  </si>
  <si>
    <t>GET promotion với page âm chưa được validate (#Issue 29)</t>
  </si>
  <si>
    <t>TCAPIPro8SauRetest.png</t>
  </si>
  <si>
    <t>2. Kiểm tra POST tạo promotion</t>
  </si>
  <si>
    <t>TC-API-009</t>
  </si>
  <si>
    <t>POST tạo VOUCHER hợp lệ</t>
  </si>
  <si>
    <t>Admin gửi POST /api/promotions với dữ liệu voucher hợp lệ bằng Postman</t>
  </si>
  <si>
    <t>Tạo promotion thành công và trả status 201</t>
  </si>
  <si>
    <t>TCAPIPro9.png</t>
  </si>
  <si>
    <t>POST voucher thành công</t>
  </si>
  <si>
    <t>TC-API-010</t>
  </si>
  <si>
    <t>POST tạo COUPON hợp lệ</t>
  </si>
  <si>
    <t>Admin gửi POST /api/promotions với dữ liệu coupon hợp lệ bằng Postman</t>
  </si>
  <si>
    <t>TCAPIPro10.png</t>
  </si>
  <si>
    <t>POST coupon thành công</t>
  </si>
  <si>
    <t>TC-API-011</t>
  </si>
  <si>
    <t>POST thiếu mã promotion</t>
  </si>
  <si>
    <t>Admin gửi POST /api/promotions nhưng để trống trường code</t>
  </si>
  <si>
    <t>Hệ thống từ chối tạo promotion và trả lỗi validation</t>
  </si>
  <si>
    <t>TCAPIPro11.png</t>
  </si>
  <si>
    <t>Thiếu promotion code trả lỗi đúng</t>
  </si>
  <si>
    <t>TC-API-012</t>
  </si>
  <si>
    <t>POST value không hợp lệ</t>
  </si>
  <si>
    <t>TCAPIPro12.png</t>
  </si>
  <si>
    <t>Value coupon vượt mức cho phép nên bị chặn</t>
  </si>
  <si>
    <t>TC-API-013</t>
  </si>
  <si>
    <t>POST ngày hết hạn nhỏ hơn ngày bắt đầu</t>
  </si>
  <si>
    <t>Admin gửi POST /api/promotions với expire_date nhỏ hơn start_date</t>
  </si>
  <si>
    <t>Hệ thống từ chối tạo promotion và trả lỗi thời gian không hợp lệ</t>
  </si>
  <si>
    <t>TCAPIPro13.png</t>
  </si>
  <si>
    <t>Expire date nhỏ hơn start date không tạo được</t>
  </si>
  <si>
    <t>TC-API-014</t>
  </si>
  <si>
    <t>POST availability âm</t>
  </si>
  <si>
    <t>Admin gửi POST /api/promotions với availability_count=-1</t>
  </si>
  <si>
    <t>Hệ thống từ chối tạo promotion và trả lỗi số lượt không hợp lệ</t>
  </si>
  <si>
    <t>TCAPIPro14.png</t>
  </si>
  <si>
    <t>Availability âm bị chặn đúng</t>
  </si>
  <si>
    <t>TC-API-015</t>
  </si>
  <si>
    <t>POST không có quyền admin</t>
  </si>
  <si>
    <t>Customer gửi POST /api/promotions với dữ liệu promotion hợp lệ</t>
  </si>
  <si>
    <t>Hệ thống từ chối tạo promotion do không có quyền admin</t>
  </si>
  <si>
    <t>TCAPIPro15.png</t>
  </si>
  <si>
    <t>Lỗi phân quyền API</t>
  </si>
  <si>
    <t>TCAPIPro15SauRetest.png</t>
  </si>
  <si>
    <t>retest đang coi, sẽ bổ sung sau</t>
  </si>
  <si>
    <t>Danh sách order, filter, phân trang và endpoint POST và PATCH /api/order</t>
  </si>
  <si>
    <t>TC-ORDER-001</t>
  </si>
  <si>
    <t>Tạo đơn hàng với promotion hợp lệ SUPER15</t>
  </si>
  <si>
    <t>POST /api/orders, body: sub_total_amount=100000, promotion_code=SUPER15</t>
  </si>
  <si>
    <t>Trả 201 Created; discount_amount=15000; final_amount=85000</t>
  </si>
  <si>
    <t>TCAPIOrd1.png</t>
  </si>
  <si>
    <t>Coupon hợp lệ hoạt động đúng</t>
  </si>
  <si>
    <t>TC-ORDER-002</t>
  </si>
  <si>
    <t>Kiểm tra giới hạn giảm tối đa của SUPER15</t>
  </si>
  <si>
    <t>POST /api/orders, body: sub_total_amount=1000000, promotion_code=SUPER15</t>
  </si>
  <si>
    <t>Trả 201 Created; discount_amount=20000; final_amount=980000</t>
  </si>
  <si>
    <t>TCAPIOrd2.png</t>
  </si>
  <si>
    <t>Max discount hoạt động đúng</t>
  </si>
  <si>
    <t>TC-ORDER-003</t>
  </si>
  <si>
    <t>Tạo order với mã 66</t>
  </si>
  <si>
    <t>POST /api/orders, body: promotion_code = 66, sub_total_amount = 10000</t>
  </si>
  <si>
    <t>Giảm giá 4000; final_amount = 6000</t>
  </si>
  <si>
    <t>TCAPIOrd3.png</t>
  </si>
  <si>
    <t>Tính discount đúng</t>
  </si>
  <si>
    <t>2. Kiểm tra validation khi tạo order</t>
  </si>
  <si>
    <t>TC-ORDER-004</t>
  </si>
  <si>
    <t>Tạo order thiếu sub_total_amount khi có promotion</t>
  </si>
  <si>
    <t>POST /api/orders, body chỉ có promotion_code=SUPER15</t>
  </si>
  <si>
    <t>Trả 400 Bad Request; message: “Giá trị đơn hàng không hợp lệ!”</t>
  </si>
  <si>
    <t>TCAPIOrd4.png</t>
  </si>
  <si>
    <t>API trả 500 khi thiếu sub_total_amount (#Issue 35)</t>
  </si>
  <si>
    <t>TC-ORDER-005</t>
  </si>
  <si>
    <t>Tạo order dưới giá trị tối thiểu của promotion</t>
  </si>
  <si>
    <t>POST /api/orders, body: sub_total_amount=1999, promotion_code=SUPER15</t>
  </si>
  <si>
    <t>Hệ thống từ chối áp dụng promotion; trả 400 Bad Request</t>
  </si>
  <si>
    <t>TCAPIOrd5.png</t>
  </si>
  <si>
    <t>Validation min_order_value hoạt động đúng</t>
  </si>
  <si>
    <t>TC-ORDER-006</t>
  </si>
  <si>
    <t>Tạo order với sub_total_amount = 0</t>
  </si>
  <si>
    <t>POST /api/orders, body: sub_total_amount=0</t>
  </si>
  <si>
    <t>Trả 400 Bad Request; message validate giá trị đơn hàng không hợp lệ</t>
  </si>
  <si>
    <t>TCAPIOrd6.png</t>
  </si>
  <si>
    <t>Không cho tạo order giá trị 0</t>
  </si>
  <si>
    <t>TC-ORDER-007</t>
  </si>
  <si>
    <t>Tạo order với sub_total_amount âm</t>
  </si>
  <si>
    <t>POST /api/orders, body: promotion_code = SUPER15, sub_total_amount = -100000</t>
  </si>
  <si>
    <t>TCAPIOrd7.png</t>
  </si>
  <si>
    <t>Không cho tạo order giá trị âm</t>
  </si>
  <si>
    <t>TC-ORDER-008</t>
  </si>
  <si>
    <t>Tạo order với sub_total_amount là chữ</t>
  </si>
  <si>
    <t>POST /api/orders, body: promotion_code = SUPER15, sub_total_amount = abc</t>
  </si>
  <si>
    <t>TCAPIOrd8.png</t>
  </si>
  <si>
    <t>Validation kiểu dữ liệu hoạt động đúng</t>
  </si>
  <si>
    <t>TC-ORDER-009</t>
  </si>
  <si>
    <t>Tạo order với mã promotion không tồn tại</t>
  </si>
  <si>
    <t>POST /api/orders, body: promotion_code = ABCXYZ, sub_total_amount = 100000</t>
  </si>
  <si>
    <t>Trả 400 Bad Request; message mã khuyến mãi không hợp lệ/không tồn tại</t>
  </si>
  <si>
    <t>TCAPIOrd9.png</t>
  </si>
  <si>
    <t>Không áp dụng mã không tồn tại</t>
  </si>
  <si>
    <t>3. Kiểm tra authentication API</t>
  </si>
  <si>
    <t>TC-ORDER-010</t>
  </si>
  <si>
    <t>Tạo order khi Basic Auth sai mật khẩu</t>
  </si>
  <si>
    <t>POST /api/orders, Basic Auth sai password, body: sub_total_amount = 100000</t>
  </si>
  <si>
    <t>Trả 401 Unauthorized; không tạo order</t>
  </si>
  <si>
    <t>TCAPIOrd10.png</t>
  </si>
  <si>
    <t>Authentication hoạt động đúng</t>
  </si>
  <si>
    <t>TC-ORDER-011</t>
  </si>
  <si>
    <t>Cập nhật trạng thái order khi chưa đăng nhập</t>
  </si>
  <si>
    <t>PATCH /orders/999999, không gửi Authorization, body: status=CANCELLED</t>
  </si>
  <si>
    <t>Trả 401 Unauthorized; không cho cập nhật order</t>
  </si>
  <si>
    <t>TCAPIOrd11.png</t>
  </si>
  <si>
    <t>Kiểm tra authentication khi cập nhật order</t>
  </si>
  <si>
    <t>4. Kiểm tra cập nhật trạng thái order</t>
  </si>
  <si>
    <t>TC-ORDER-012</t>
  </si>
  <si>
    <t>Cập nhật trạng thái cho order không tồn tại</t>
  </si>
  <si>
    <t>PATCH /orders/999999, body: status=CANCELLED</t>
  </si>
  <si>
    <t>Trả 404 Not Found; không cập nhật dữ liệu</t>
  </si>
  <si>
    <t>TCAPIOrd12.png</t>
  </si>
  <si>
    <t>Kiểm tra xử lý order không tồn tại</t>
  </si>
  <si>
    <t>TC-ORDER-013</t>
  </si>
  <si>
    <t>Cập nhật trạng thái order hợp lệ</t>
  </si>
  <si>
    <t>PATCH /orders/14, body: status=COMPLETED</t>
  </si>
  <si>
    <t>Trả 204 No Content; trạng thái order được cập nhật thành COMPLETED</t>
  </si>
  <si>
    <t>TCAPIOrd13.png</t>
  </si>
  <si>
    <t>Kiểm tra update status hợp lệ</t>
  </si>
  <si>
    <t>TC-ORDER-014</t>
  </si>
  <si>
    <t>Cập nhật order với trạng thái không hợp lệ</t>
  </si>
  <si>
    <t>PATCH /orders/13, body: status=ABCXYZ</t>
  </si>
  <si>
    <t>Trả 400 Bad Request; không cập nhật trạng thái order</t>
  </si>
  <si>
    <t>TCAPIOrd14.png</t>
  </si>
  <si>
    <t>Validation status hoạt động đúng</t>
  </si>
  <si>
    <t>TC-ORDER-015</t>
  </si>
  <si>
    <t>Cập nhật order thiếu trường status</t>
  </si>
  <si>
    <t>PATCH /orders/13, không gửi field status</t>
  </si>
  <si>
    <t>TCAPIOrd15.png</t>
  </si>
  <si>
    <t>Kiểm tra validation khi thiếu status</t>
  </si>
  <si>
    <t>TC-ORDER-016</t>
  </si>
  <si>
    <t>Không cho cập nhật trạng thái order đã hoàn tất</t>
  </si>
  <si>
    <t>PATCH /orders/14, body: status=PENDING</t>
  </si>
  <si>
    <t>Trả 400 Bad Request; không cho cập nhật vì order không còn ở trạng thái chờ xử lý</t>
  </si>
  <si>
    <t>TCAPIOrd16.png</t>
  </si>
  <si>
    <t>Chỉ cho cập nhật order đang PENDING</t>
  </si>
  <si>
    <t>TC-ORDER-017</t>
  </si>
  <si>
    <t>Cập nhật order sang trạng thái CANCELLED</t>
  </si>
  <si>
    <t>PATCH /orders/12, body: status=CANCELLED</t>
  </si>
  <si>
    <t>Trả 204 No Content; trạng thái order được cập nhật thành CANCELLED</t>
  </si>
  <si>
    <t>TCAPIOrd17.png</t>
  </si>
  <si>
    <t>Kiểm tra hủy order đang chờ xử lý</t>
  </si>
  <si>
    <t>TEST REPORT</t>
  </si>
  <si>
    <t>Note:</t>
  </si>
  <si>
    <t>Báo cáo kết quả kiểm thử hệ thống Discounts Management</t>
  </si>
  <si>
    <t>Date</t>
  </si>
  <si>
    <t>No</t>
  </si>
  <si>
    <t>Module code</t>
  </si>
  <si>
    <t>Number of test cases</t>
  </si>
  <si>
    <t>AUTH</t>
  </si>
  <si>
    <t>USER</t>
  </si>
  <si>
    <t>ORD</t>
  </si>
  <si>
    <t>PRO</t>
  </si>
  <si>
    <t>STAT</t>
  </si>
  <si>
    <t>API_PRO</t>
  </si>
  <si>
    <t>API_ORD</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</si>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</sst>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
    <numFmt numFmtId="165" formatCode="dd/mm/yyyy"/>
    <numFmt numFmtId="166" formatCode="d-m"/>
  </numFmts>
  <fonts count="30">
    <font>
      <sz val="10.0"/>
      <color rgb="FF000000"/>
      <name val="Arial"/>
      <scheme val="minor"/>
    </font>
    <font>
      <sz val="11.0"/>
      <color rgb="FF000000"/>
      <name val="Tahoma"/>
    </font>
    <font>
      <b/>
      <sz val="18.0"/>
      <color rgb="FF000000"/>
      <name val="Tahoma"/>
    </font>
    <font>
      <b/>
      <color rgb="FF993300"/>
      <name val="Tahoma"/>
    </font>
    <font>
      <color rgb="FF000000"/>
      <name val="Tahoma"/>
    </font>
    <font/>
    <font>
      <b/>
      <color rgb="FFFFFFFF"/>
      <name val="Tahoma"/>
    </font>
    <font>
      <color theme="1"/>
      <name val="Arial"/>
      <scheme val="minor"/>
    </font>
    <font>
      <b/>
      <color rgb="FF000000"/>
      <name val="Tahoma"/>
    </font>
    <font>
      <sz val="8.0"/>
      <color rgb="FF000000"/>
      <name val="Tahoma"/>
    </font>
    <font>
      <u/>
      <sz val="14.0"/>
      <color rgb="FF000000"/>
      <name val="Times New Roman"/>
    </font>
    <font>
      <color rgb="FF000000"/>
      <name val="Arial"/>
    </font>
    <font>
      <b/>
      <sz val="12.0"/>
      <color rgb="FFFFFFFF"/>
      <name val="Tahoma"/>
    </font>
    <font>
      <color theme="1"/>
      <name val="Tahoma"/>
    </font>
    <font>
      <u/>
      <color theme="1"/>
      <name val="Tahoma"/>
    </font>
    <font>
      <color rgb="FFFF0000"/>
      <name val="Tahoma"/>
    </font>
    <font>
      <u/>
      <color theme="1"/>
      <name val="Tahoma"/>
    </font>
    <font>
      <color theme="1"/>
      <name val="Arial"/>
    </font>
    <font>
      <u/>
      <color theme="1"/>
      <name val="Tahoma"/>
    </font>
    <font>
      <u/>
      <color rgb="FF000000"/>
      <name val="Tahoma"/>
    </font>
    <font>
      <color rgb="FF1F1F1F"/>
      <name val="Tahoma"/>
    </font>
    <font>
      <u/>
      <color rgb="FF000000"/>
      <name val="Tahoma"/>
    </font>
    <font>
      <u/>
      <color theme="1"/>
      <name val="Arial"/>
    </font>
    <font>
      <b/>
      <color theme="1"/>
      <name val="Tahoma"/>
    </font>
    <font>
      <sz val="11.0"/>
      <color theme="1"/>
      <name val="Carlito"/>
    </font>
    <font>
      <u/>
      <color theme="1"/>
      <name val="Arial"/>
      <scheme val="minor"/>
    </font>
    <font>
      <sz val="11.0"/>
      <color rgb="FF000000"/>
      <name val="ＭＳ Ｐゴシック"/>
    </font>
    <font>
      <color rgb="FF000000"/>
      <name val="ＭＳ Ｐゴシック"/>
    </font>
    <font>
      <color rgb="FFFFFFFF"/>
      <name val="Tahoma"/>
    </font>
    <font>
      <b/>
      <color rgb="FF0000FF"/>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1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left style="thin">
        <color rgb="FF000000"/>
      </lef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right style="thin">
        <color rgb="FF000000"/>
      </right>
      <bottom style="thin">
        <color rgb="FF000000"/>
      </bottom>
    </border>
  </borders>
  <cellStyleXfs count="1">
    <xf borderId="0" fillId="0" fontId="0" numFmtId="0" applyAlignment="1" applyFont="1"/>
  </cellStyleXfs>
  <cellXfs count="119">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1" numFmtId="0" xfId="0" applyAlignment="1" applyFill="1" applyFont="1">
      <alignment shrinkToFit="0" vertical="bottom" wrapText="0"/>
    </xf>
    <xf borderId="0" fillId="2" fontId="2" numFmtId="0" xfId="0" applyAlignment="1" applyFont="1">
      <alignment readingOrder="0" shrinkToFit="0" vertical="bottom" wrapText="0"/>
    </xf>
    <xf borderId="0" fillId="2" fontId="3" numFmtId="0" xfId="0" applyAlignment="1" applyFont="1">
      <alignment readingOrder="0" shrinkToFit="0" vertical="bottom" wrapText="0"/>
    </xf>
    <xf borderId="0" fillId="2" fontId="4" numFmtId="164" xfId="0" applyAlignment="1" applyFont="1" applyNumberFormat="1">
      <alignment horizontal="left" readingOrder="0" shrinkToFit="0" vertical="bottom" wrapText="0"/>
    </xf>
    <xf borderId="0" fillId="2" fontId="4" numFmtId="0" xfId="0" applyAlignment="1" applyFont="1">
      <alignment shrinkToFit="0" vertical="bottom" wrapText="0"/>
    </xf>
    <xf borderId="0" fillId="0" fontId="4" numFmtId="165" xfId="0" applyAlignment="1" applyFont="1" applyNumberFormat="1">
      <alignment horizontal="left" readingOrder="0" shrinkToFit="0" vertical="bottom" wrapText="0"/>
    </xf>
    <xf borderId="0" fillId="0" fontId="4" numFmtId="0" xfId="0" applyAlignment="1" applyFont="1">
      <alignment horizontal="left" shrinkToFit="0" vertical="bottom" wrapText="0"/>
    </xf>
    <xf borderId="0" fillId="2" fontId="3" numFmtId="0" xfId="0" applyAlignment="1" applyFont="1">
      <alignment shrinkToFit="0" vertical="bottom" wrapText="0"/>
    </xf>
    <xf borderId="1" fillId="2" fontId="4" numFmtId="0" xfId="0" applyAlignment="1" applyBorder="1" applyFont="1">
      <alignment horizontal="left" readingOrder="0" vertical="bottom"/>
    </xf>
    <xf borderId="2" fillId="0" fontId="5" numFmtId="0" xfId="0" applyBorder="1" applyFont="1"/>
    <xf borderId="3" fillId="0" fontId="5" numFmtId="0" xfId="0" applyBorder="1" applyFont="1"/>
    <xf borderId="0" fillId="0" fontId="4" numFmtId="0" xfId="0" applyAlignment="1" applyFont="1">
      <alignment shrinkToFit="0" vertical="bottom" wrapText="0"/>
    </xf>
    <xf borderId="0" fillId="0" fontId="3" numFmtId="0" xfId="0" applyAlignment="1" applyFont="1">
      <alignment readingOrder="0" shrinkToFit="0" vertical="bottom" wrapText="0"/>
    </xf>
    <xf borderId="0" fillId="0" fontId="1" numFmtId="0" xfId="0" applyAlignment="1" applyFont="1">
      <alignment shrinkToFit="0" wrapText="0"/>
    </xf>
    <xf borderId="4" fillId="3" fontId="6" numFmtId="0" xfId="0" applyAlignment="1" applyBorder="1" applyFill="1" applyFont="1">
      <alignment horizontal="center" readingOrder="0" shrinkToFit="0" wrapText="0"/>
    </xf>
    <xf borderId="4" fillId="3" fontId="6" numFmtId="0" xfId="0" applyAlignment="1" applyBorder="1" applyFont="1">
      <alignment horizontal="center" readingOrder="0"/>
    </xf>
    <xf borderId="4" fillId="0" fontId="4" numFmtId="165" xfId="0" applyAlignment="1" applyBorder="1" applyFont="1" applyNumberFormat="1">
      <alignment horizontal="center" readingOrder="0" shrinkToFit="0" wrapText="0"/>
    </xf>
    <xf borderId="4" fillId="0" fontId="4" numFmtId="0" xfId="0" applyAlignment="1" applyBorder="1" applyFont="1">
      <alignment horizontal="center" readingOrder="0" shrinkToFit="0" wrapText="0"/>
    </xf>
    <xf borderId="4" fillId="0" fontId="4" numFmtId="0" xfId="0" applyAlignment="1" applyBorder="1" applyFont="1">
      <alignment horizontal="left" readingOrder="0" shrinkToFit="0" wrapText="0"/>
    </xf>
    <xf borderId="4" fillId="0" fontId="4" numFmtId="0" xfId="0" applyAlignment="1" applyBorder="1" applyFont="1">
      <alignment horizontal="left" readingOrder="0"/>
    </xf>
    <xf borderId="4" fillId="0" fontId="4" numFmtId="0" xfId="0" applyAlignment="1" applyBorder="1" applyFont="1">
      <alignment readingOrder="0"/>
    </xf>
    <xf borderId="4" fillId="0" fontId="4" numFmtId="165" xfId="0" applyAlignment="1" applyBorder="1" applyFont="1" applyNumberFormat="1">
      <alignment horizontal="center" readingOrder="0" shrinkToFit="0" vertical="bottom" wrapText="0"/>
    </xf>
    <xf borderId="4" fillId="0" fontId="7" numFmtId="0" xfId="0" applyAlignment="1" applyBorder="1" applyFont="1">
      <alignment horizontal="center" readingOrder="0"/>
    </xf>
    <xf borderId="0" fillId="0" fontId="4" numFmtId="0" xfId="0" applyAlignment="1" applyFont="1">
      <alignment shrinkToFit="0" wrapText="0"/>
    </xf>
    <xf borderId="4" fillId="0" fontId="4" numFmtId="0" xfId="0" applyAlignment="1" applyBorder="1" applyFont="1">
      <alignment readingOrder="0" shrinkToFit="0" wrapText="0"/>
    </xf>
    <xf borderId="4" fillId="0" fontId="4" numFmtId="164" xfId="0" applyAlignment="1" applyBorder="1" applyFont="1" applyNumberFormat="1">
      <alignment horizontal="center" readingOrder="0" shrinkToFit="0" wrapText="0"/>
    </xf>
    <xf borderId="0" fillId="2" fontId="8" numFmtId="0" xfId="0" applyAlignment="1" applyFont="1">
      <alignment readingOrder="0" shrinkToFit="0" vertical="bottom" wrapText="0"/>
    </xf>
    <xf borderId="0" fillId="2" fontId="9" numFmtId="0" xfId="0" applyAlignment="1" applyFont="1">
      <alignment horizontal="center" shrinkToFit="0" vertical="bottom" wrapText="0"/>
    </xf>
    <xf borderId="0" fillId="2" fontId="9" numFmtId="0" xfId="0" applyAlignment="1" applyFont="1">
      <alignment shrinkToFit="0" vertical="bottom" wrapText="0"/>
    </xf>
    <xf borderId="5" fillId="0" fontId="5" numFmtId="0" xfId="0" applyBorder="1" applyFont="1"/>
    <xf borderId="0" fillId="0" fontId="10" numFmtId="0" xfId="0" applyAlignment="1" applyFont="1">
      <alignment readingOrder="0" shrinkToFit="0" vertical="bottom" wrapText="0"/>
    </xf>
    <xf borderId="1" fillId="2" fontId="4" numFmtId="0" xfId="0" applyAlignment="1" applyBorder="1" applyFont="1">
      <alignment horizontal="left" readingOrder="0" shrinkToFit="0" vertical="bottom" wrapText="0"/>
    </xf>
    <xf borderId="0" fillId="2" fontId="4" numFmtId="0" xfId="0" applyAlignment="1" applyFont="1">
      <alignment horizontal="left" shrinkToFit="0" vertical="bottom" wrapText="0"/>
    </xf>
    <xf borderId="0" fillId="2" fontId="4" numFmtId="0" xfId="0" applyAlignment="1" applyFont="1">
      <alignment horizontal="center" shrinkToFit="0" vertical="bottom" wrapText="0"/>
    </xf>
    <xf borderId="0" fillId="0" fontId="11" numFmtId="0" xfId="0" applyAlignment="1" applyFont="1">
      <alignment shrinkToFit="0" vertical="bottom" wrapText="0"/>
    </xf>
    <xf borderId="4" fillId="2" fontId="8" numFmtId="0" xfId="0" applyAlignment="1" applyBorder="1" applyFont="1">
      <alignment horizontal="left" readingOrder="0" shrinkToFit="0" vertical="bottom" wrapText="0"/>
    </xf>
    <xf borderId="1" fillId="2" fontId="4" numFmtId="0" xfId="0" applyAlignment="1" applyBorder="1" applyFont="1">
      <alignment horizontal="left" readingOrder="0" shrinkToFit="0" vertical="top" wrapText="0"/>
    </xf>
    <xf borderId="4" fillId="2" fontId="4" numFmtId="0" xfId="0" applyAlignment="1" applyBorder="1" applyFont="1">
      <alignment horizontal="right" readingOrder="0" shrinkToFit="0" vertical="bottom" wrapText="0"/>
    </xf>
    <xf borderId="4" fillId="2" fontId="4" numFmtId="0" xfId="0" applyAlignment="1" applyBorder="1" applyFont="1">
      <alignment horizontal="center" readingOrder="0" shrinkToFit="0" vertical="bottom" wrapText="0"/>
    </xf>
    <xf borderId="4" fillId="0" fontId="4" numFmtId="0" xfId="0" applyAlignment="1" applyBorder="1" applyFont="1">
      <alignment horizontal="center" readingOrder="0" shrinkToFit="0" vertical="bottom" wrapText="0"/>
    </xf>
    <xf borderId="2" fillId="2" fontId="4" numFmtId="0" xfId="0" applyAlignment="1" applyBorder="1" applyFont="1">
      <alignment horizontal="center" shrinkToFit="0" vertical="bottom" wrapText="0"/>
    </xf>
    <xf borderId="2" fillId="0" fontId="11" numFmtId="0" xfId="0" applyAlignment="1" applyBorder="1" applyFont="1">
      <alignment shrinkToFit="0" vertical="bottom" wrapText="0"/>
    </xf>
    <xf borderId="5" fillId="2" fontId="4" numFmtId="0" xfId="0" applyAlignment="1" applyBorder="1" applyFont="1">
      <alignment horizontal="center" shrinkToFit="0" vertical="bottom" wrapText="0"/>
    </xf>
    <xf borderId="6" fillId="4" fontId="6" numFmtId="0" xfId="0" applyAlignment="1" applyBorder="1" applyFill="1" applyFont="1">
      <alignment horizontal="center" readingOrder="0" shrinkToFit="0" vertical="bottom" wrapText="0"/>
    </xf>
    <xf borderId="6" fillId="4" fontId="6" numFmtId="0" xfId="0" applyAlignment="1" applyBorder="1" applyFont="1">
      <alignment readingOrder="0" shrinkToFit="0" vertical="bottom" wrapText="0"/>
    </xf>
    <xf borderId="7" fillId="4" fontId="6" numFmtId="0" xfId="0" applyAlignment="1" applyBorder="1" applyFont="1">
      <alignment horizontal="center" readingOrder="0" shrinkToFit="0" vertical="bottom" wrapText="0"/>
    </xf>
    <xf borderId="8" fillId="4" fontId="6" numFmtId="0" xfId="0" applyAlignment="1" applyBorder="1" applyFont="1">
      <alignment horizontal="center" readingOrder="0" shrinkToFit="0" vertical="bottom" wrapText="0"/>
    </xf>
    <xf borderId="9" fillId="0" fontId="5" numFmtId="0" xfId="0" applyBorder="1" applyFont="1"/>
    <xf borderId="10" fillId="0" fontId="5" numFmtId="0" xfId="0" applyBorder="1" applyFont="1"/>
    <xf borderId="3" fillId="5" fontId="12" numFmtId="0" xfId="0" applyAlignment="1" applyBorder="1" applyFill="1" applyFont="1">
      <alignment horizontal="left" shrinkToFit="0" vertical="bottom" wrapText="0"/>
    </xf>
    <xf borderId="1" fillId="6" fontId="8" numFmtId="0" xfId="0" applyAlignment="1" applyBorder="1" applyFill="1" applyFont="1">
      <alignment horizontal="left" readingOrder="0" shrinkToFit="0" vertical="bottom" wrapText="0"/>
    </xf>
    <xf borderId="4" fillId="0" fontId="4" numFmtId="0" xfId="0" applyAlignment="1" applyBorder="1" applyFont="1">
      <alignment horizontal="left" readingOrder="0" shrinkToFit="0" vertical="top" wrapText="0"/>
    </xf>
    <xf borderId="4" fillId="0" fontId="13" numFmtId="0" xfId="0" applyAlignment="1" applyBorder="1" applyFont="1">
      <alignment vertical="top"/>
    </xf>
    <xf borderId="1" fillId="0" fontId="4" numFmtId="0" xfId="0" applyAlignment="1" applyBorder="1" applyFont="1">
      <alignment horizontal="left" readingOrder="0" shrinkToFit="0" vertical="top" wrapText="0"/>
    </xf>
    <xf borderId="4" fillId="0" fontId="14" numFmtId="0" xfId="0" applyAlignment="1" applyBorder="1" applyFont="1">
      <alignment horizontal="left" readingOrder="0" shrinkToFit="0" vertical="top" wrapText="0"/>
    </xf>
    <xf borderId="1" fillId="0" fontId="15" numFmtId="166" xfId="0" applyAlignment="1" applyBorder="1" applyFont="1" applyNumberFormat="1">
      <alignment horizontal="left" readingOrder="0" shrinkToFit="0" vertical="top" wrapText="0"/>
    </xf>
    <xf borderId="4" fillId="0" fontId="13" numFmtId="0" xfId="0" applyAlignment="1" applyBorder="1" applyFont="1">
      <alignment readingOrder="0" vertical="top"/>
    </xf>
    <xf borderId="4" fillId="0" fontId="16" numFmtId="0" xfId="0" applyAlignment="1" applyBorder="1" applyFont="1">
      <alignment readingOrder="0" vertical="top"/>
    </xf>
    <xf borderId="1" fillId="0" fontId="13" numFmtId="0" xfId="0" applyAlignment="1" applyBorder="1" applyFont="1">
      <alignment vertical="top"/>
    </xf>
    <xf borderId="2" fillId="0" fontId="17" numFmtId="0" xfId="0" applyAlignment="1" applyBorder="1" applyFont="1">
      <alignment vertical="bottom"/>
    </xf>
    <xf borderId="4" fillId="0" fontId="18" numFmtId="0" xfId="0" applyAlignment="1" applyBorder="1" applyFont="1">
      <alignment readingOrder="0" vertical="top"/>
    </xf>
    <xf borderId="1" fillId="0" fontId="13" numFmtId="0" xfId="0" applyAlignment="1" applyBorder="1" applyFont="1">
      <alignment readingOrder="0" vertical="top"/>
    </xf>
    <xf borderId="4" fillId="0" fontId="19" numFmtId="0" xfId="0" applyAlignment="1" applyBorder="1" applyFont="1">
      <alignment horizontal="left" readingOrder="0" shrinkToFit="0" vertical="top" wrapText="0"/>
    </xf>
    <xf borderId="4" fillId="0" fontId="20" numFmtId="0" xfId="0" applyAlignment="1" applyBorder="1" applyFont="1">
      <alignment horizontal="left" readingOrder="0" shrinkToFit="0" vertical="top" wrapText="0"/>
    </xf>
    <xf borderId="3" fillId="0" fontId="11" numFmtId="0" xfId="0" applyAlignment="1" applyBorder="1" applyFont="1">
      <alignment shrinkToFit="0" vertical="bottom" wrapText="0"/>
    </xf>
    <xf borderId="4" fillId="0" fontId="21" numFmtId="0" xfId="0" applyAlignment="1" applyBorder="1" applyFont="1">
      <alignment horizontal="left" readingOrder="0" shrinkToFit="0" vertical="top" wrapText="0"/>
    </xf>
    <xf borderId="0" fillId="0" fontId="7" numFmtId="0" xfId="0" applyAlignment="1" applyFont="1">
      <alignment readingOrder="0"/>
    </xf>
    <xf borderId="4" fillId="0" fontId="22" numFmtId="0" xfId="0" applyAlignment="1" applyBorder="1" applyFont="1">
      <alignment readingOrder="0" vertical="top"/>
    </xf>
    <xf borderId="0" fillId="2" fontId="23" numFmtId="0" xfId="0" applyAlignment="1" applyFont="1">
      <alignment vertical="bottom"/>
    </xf>
    <xf borderId="0" fillId="2" fontId="17" numFmtId="0" xfId="0" applyAlignment="1" applyFont="1">
      <alignment vertical="bottom"/>
    </xf>
    <xf borderId="0" fillId="0" fontId="17" numFmtId="0" xfId="0" applyAlignment="1" applyFont="1">
      <alignment vertical="bottom"/>
    </xf>
    <xf borderId="4" fillId="2" fontId="23" numFmtId="0" xfId="0" applyAlignment="1" applyBorder="1" applyFont="1">
      <alignment vertical="bottom"/>
    </xf>
    <xf borderId="1" fillId="2" fontId="13" numFmtId="0" xfId="0" applyAlignment="1" applyBorder="1" applyFont="1">
      <alignment vertical="bottom"/>
    </xf>
    <xf borderId="1" fillId="2" fontId="13" numFmtId="0" xfId="0" applyAlignment="1" applyBorder="1" applyFont="1">
      <alignment readingOrder="0" vertical="top"/>
    </xf>
    <xf borderId="4" fillId="2" fontId="13" numFmtId="0" xfId="0" applyAlignment="1" applyBorder="1" applyFont="1">
      <alignment horizontal="right" vertical="bottom"/>
    </xf>
    <xf borderId="4" fillId="2" fontId="13" numFmtId="0" xfId="0" applyAlignment="1" applyBorder="1" applyFont="1">
      <alignment horizontal="center" vertical="bottom"/>
    </xf>
    <xf borderId="4" fillId="0" fontId="13" numFmtId="0" xfId="0" applyAlignment="1" applyBorder="1" applyFont="1">
      <alignment horizontal="center" vertical="bottom"/>
    </xf>
    <xf borderId="2" fillId="2" fontId="17" numFmtId="0" xfId="0" applyAlignment="1" applyBorder="1" applyFont="1">
      <alignment vertical="bottom"/>
    </xf>
    <xf borderId="5" fillId="2" fontId="17" numFmtId="0" xfId="0" applyAlignment="1" applyBorder="1" applyFont="1">
      <alignment vertical="bottom"/>
    </xf>
    <xf borderId="6" fillId="4" fontId="6" numFmtId="0" xfId="0" applyAlignment="1" applyBorder="1" applyFont="1">
      <alignment horizontal="center" vertical="bottom"/>
    </xf>
    <xf borderId="6" fillId="4" fontId="6" numFmtId="0" xfId="0" applyAlignment="1" applyBorder="1" applyFont="1">
      <alignment vertical="bottom"/>
    </xf>
    <xf borderId="7" fillId="4" fontId="6" numFmtId="0" xfId="0" applyAlignment="1" applyBorder="1" applyFont="1">
      <alignment horizontal="center" vertical="bottom"/>
    </xf>
    <xf borderId="8" fillId="4" fontId="6" numFmtId="0" xfId="0" applyAlignment="1" applyBorder="1" applyFont="1">
      <alignment horizontal="center" vertical="bottom"/>
    </xf>
    <xf borderId="3" fillId="5" fontId="17" numFmtId="0" xfId="0" applyAlignment="1" applyBorder="1" applyFont="1">
      <alignment vertical="bottom"/>
    </xf>
    <xf borderId="3" fillId="0" fontId="17" numFmtId="0" xfId="0" applyAlignment="1" applyBorder="1" applyFont="1">
      <alignment vertical="bottom"/>
    </xf>
    <xf borderId="1" fillId="6" fontId="23" numFmtId="0" xfId="0" applyAlignment="1" applyBorder="1" applyFont="1">
      <alignment readingOrder="0" vertical="bottom"/>
    </xf>
    <xf borderId="4" fillId="0" fontId="13" numFmtId="0" xfId="0" applyAlignment="1" applyBorder="1" applyFont="1">
      <alignment vertical="top"/>
    </xf>
    <xf borderId="0" fillId="0" fontId="24" numFmtId="0" xfId="0" applyAlignment="1" applyFont="1">
      <alignment vertical="top"/>
    </xf>
    <xf borderId="1" fillId="0" fontId="13" numFmtId="0" xfId="0" applyAlignment="1" applyBorder="1" applyFont="1">
      <alignment vertical="top"/>
    </xf>
    <xf borderId="0" fillId="0" fontId="17" numFmtId="0" xfId="0" applyAlignment="1" applyFont="1">
      <alignment readingOrder="0" vertical="bottom"/>
    </xf>
    <xf borderId="4" fillId="0" fontId="4" numFmtId="0" xfId="0" applyAlignment="1" applyBorder="1" applyFont="1">
      <alignment readingOrder="0" shrinkToFit="0" vertical="top" wrapText="0"/>
    </xf>
    <xf borderId="2" fillId="0" fontId="4" numFmtId="0" xfId="0" applyAlignment="1" applyBorder="1" applyFont="1">
      <alignment horizontal="left" readingOrder="0" shrinkToFit="0" vertical="top" wrapText="0"/>
    </xf>
    <xf borderId="4" fillId="0" fontId="25" numFmtId="0" xfId="0" applyAlignment="1" applyBorder="1" applyFont="1">
      <alignment readingOrder="0"/>
    </xf>
    <xf borderId="0" fillId="0" fontId="2" numFmtId="0" xfId="0" applyAlignment="1" applyFont="1">
      <alignment readingOrder="0" shrinkToFit="0" vertical="bottom" wrapText="0"/>
    </xf>
    <xf borderId="0" fillId="0" fontId="8" numFmtId="0" xfId="0" applyAlignment="1" applyFont="1">
      <alignment shrinkToFit="0" vertical="bottom" wrapText="0"/>
    </xf>
    <xf borderId="0" fillId="0" fontId="2" numFmtId="0" xfId="0" applyAlignment="1" applyFont="1">
      <alignment shrinkToFit="0" vertical="bottom" wrapText="0"/>
    </xf>
    <xf borderId="0" fillId="0" fontId="26" numFmtId="0" xfId="0" applyAlignment="1" applyFont="1">
      <alignment shrinkToFit="0" vertical="bottom" wrapText="0"/>
    </xf>
    <xf borderId="0" fillId="0" fontId="4" numFmtId="0" xfId="0" applyAlignment="1" applyFont="1">
      <alignment readingOrder="0" shrinkToFit="0" vertical="bottom" wrapText="0"/>
    </xf>
    <xf borderId="7" fillId="0" fontId="4" numFmtId="165" xfId="0" applyAlignment="1" applyBorder="1" applyFont="1" applyNumberFormat="1">
      <alignment horizontal="center" readingOrder="0" shrinkToFit="0" vertical="bottom" wrapText="0"/>
    </xf>
    <xf borderId="11" fillId="3" fontId="6" numFmtId="0" xfId="0" applyAlignment="1" applyBorder="1" applyFont="1">
      <alignment horizontal="center" readingOrder="0" shrinkToFit="0" vertical="bottom" wrapText="0"/>
    </xf>
    <xf borderId="12" fillId="3" fontId="6" numFmtId="0" xfId="0" applyAlignment="1" applyBorder="1" applyFont="1">
      <alignment horizontal="center" readingOrder="0" shrinkToFit="0" vertical="bottom" wrapText="0"/>
    </xf>
    <xf borderId="12" fillId="3" fontId="6" numFmtId="0" xfId="0" applyAlignment="1" applyBorder="1" applyFont="1">
      <alignment horizontal="center" readingOrder="0" vertical="bottom"/>
    </xf>
    <xf borderId="13" fillId="3" fontId="6" numFmtId="0" xfId="0" applyAlignment="1" applyBorder="1" applyFont="1">
      <alignment horizontal="center" readingOrder="0" vertical="bottom"/>
    </xf>
    <xf borderId="0" fillId="0" fontId="4" numFmtId="0" xfId="0" applyAlignment="1" applyFont="1">
      <alignment vertical="bottom"/>
    </xf>
    <xf borderId="7" fillId="0" fontId="4" numFmtId="0" xfId="0" applyAlignment="1" applyBorder="1" applyFont="1">
      <alignment horizontal="center" readingOrder="0"/>
    </xf>
    <xf borderId="0" fillId="0" fontId="4" numFmtId="0" xfId="0" applyAlignment="1" applyFont="1">
      <alignment horizontal="center" readingOrder="0"/>
    </xf>
    <xf borderId="14" fillId="0" fontId="4" numFmtId="0" xfId="0" applyAlignment="1" applyBorder="1" applyFont="1">
      <alignment horizontal="center" readingOrder="0"/>
    </xf>
    <xf borderId="0" fillId="0" fontId="27" numFmtId="0" xfId="0" applyAlignment="1" applyFont="1">
      <alignment horizontal="center" readingOrder="0" shrinkToFit="0" vertical="bottom" wrapText="0"/>
    </xf>
    <xf borderId="0" fillId="0" fontId="4" numFmtId="0" xfId="0" applyAlignment="1" applyFont="1">
      <alignment horizontal="center" readingOrder="0" shrinkToFit="0" vertical="bottom" wrapText="0"/>
    </xf>
    <xf borderId="14" fillId="0" fontId="4" numFmtId="0" xfId="0" applyAlignment="1" applyBorder="1" applyFont="1">
      <alignment horizontal="center" readingOrder="0" shrinkToFit="0" vertical="bottom" wrapText="0"/>
    </xf>
    <xf borderId="10" fillId="3" fontId="28" numFmtId="0" xfId="0" applyAlignment="1" applyBorder="1" applyFont="1">
      <alignment horizontal="center" shrinkToFit="0" vertical="bottom" wrapText="0"/>
    </xf>
    <xf borderId="5" fillId="3" fontId="6" numFmtId="0" xfId="0" applyAlignment="1" applyBorder="1" applyFont="1">
      <alignment readingOrder="0" shrinkToFit="0" vertical="bottom" wrapText="0"/>
    </xf>
    <xf borderId="5" fillId="3" fontId="28" numFmtId="0" xfId="0" applyAlignment="1" applyBorder="1" applyFont="1">
      <alignment horizontal="center" readingOrder="0" shrinkToFit="0" vertical="bottom" wrapText="0"/>
    </xf>
    <xf borderId="15" fillId="3" fontId="28" numFmtId="0" xfId="0" applyAlignment="1" applyBorder="1" applyFont="1">
      <alignment horizontal="center" readingOrder="0" shrinkToFit="0" vertical="bottom" wrapText="0"/>
    </xf>
    <xf borderId="0" fillId="0" fontId="4" numFmtId="0" xfId="0" applyAlignment="1" applyFont="1">
      <alignment horizontal="center" shrinkToFit="0" vertical="bottom" wrapText="0"/>
    </xf>
    <xf borderId="0" fillId="0" fontId="29" numFmtId="0" xfId="0" applyAlignment="1" applyFont="1">
      <alignment horizontal="right" readingOrder="0" vertical="bottom"/>
    </xf>
    <xf borderId="0" fillId="0" fontId="4" numFmtId="0" xfId="0" applyAlignment="1" applyFon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drive.google.com/file/d/182eefYYjCQs8Nn8SZkCBuV6amgnUXVfx/view?usp=sharing" TargetMode="External"/><Relationship Id="rId10" Type="http://schemas.openxmlformats.org/officeDocument/2006/relationships/hyperlink" Target="https://drive.google.com/file/d/1lnzMMEmXI3Up6fGTse82GM9H45LPle1v/view?usp=sharing" TargetMode="External"/><Relationship Id="rId13" Type="http://schemas.openxmlformats.org/officeDocument/2006/relationships/hyperlink" Target="https://drive.google.com/file/d/1iN5bw3FCNZzrpVjRM5pUDPBaLLmTVe6E/view?usp=sharing" TargetMode="External"/><Relationship Id="rId12" Type="http://schemas.openxmlformats.org/officeDocument/2006/relationships/hyperlink" Target="https://drive.google.com/file/d/1sXF1IqT34XB4PYTyBjI5-A8n-B8Rd7U6/view?usp=sharing" TargetMode="External"/><Relationship Id="rId1" Type="http://schemas.openxmlformats.org/officeDocument/2006/relationships/hyperlink" Target="https://docs.google.com/spreadsheets/d/1H0kBUBCjG8Yo2cHSmgkZvUed522hQ2V4T5Hsqj3oYzI/edit?gid=0" TargetMode="External"/><Relationship Id="rId2" Type="http://schemas.openxmlformats.org/officeDocument/2006/relationships/hyperlink" Target="https://drive.google.com/file/d/1B8a8rngq_g9WKn8i5GbVnQj0HkbSWltR/view?usp=sharing" TargetMode="External"/><Relationship Id="rId3" Type="http://schemas.openxmlformats.org/officeDocument/2006/relationships/hyperlink" Target="https://drive.google.com/file/d/1l0nLmKo-iNDJzMlboe0dfFkk-B_w9sTF/view?usp=sharing" TargetMode="External"/><Relationship Id="rId4" Type="http://schemas.openxmlformats.org/officeDocument/2006/relationships/hyperlink" Target="https://drive.google.com/file/d/1ol_TO33uwRR9O8K1ASOMFOIpsdJXjaYk/view?usp=sharing" TargetMode="External"/><Relationship Id="rId9" Type="http://schemas.openxmlformats.org/officeDocument/2006/relationships/hyperlink" Target="https://drive.google.com/file/d/1ol_TO33uwRR9O8K1ASOMFOIpsdJXjaYk/view?usp=sharing" TargetMode="External"/><Relationship Id="rId15" Type="http://schemas.openxmlformats.org/officeDocument/2006/relationships/hyperlink" Target="https://drive.google.com/file/d/1H_Uo3LVqgBkFHp7h5ztk8vnXxfvFg46U/view?usp=sharing" TargetMode="External"/><Relationship Id="rId14" Type="http://schemas.openxmlformats.org/officeDocument/2006/relationships/hyperlink" Target="https://drive.google.com/file/d/1wABj0F3CjqeJs3dYjKhZUorkN0BewGg6/view?usp=sharing" TargetMode="External"/><Relationship Id="rId16" Type="http://schemas.openxmlformats.org/officeDocument/2006/relationships/drawing" Target="../drawings/drawing2.xml"/><Relationship Id="rId5" Type="http://schemas.openxmlformats.org/officeDocument/2006/relationships/hyperlink" Target="https://drive.google.com/file/d/1_jU4PoykUMk1eDwWIrJ4iQ__hkUs1yLf/view?usp=sharing" TargetMode="External"/><Relationship Id="rId6" Type="http://schemas.openxmlformats.org/officeDocument/2006/relationships/hyperlink" Target="https://drive.google.com/file/d/1v3X8ZcVLJgfVN35JPwD_jvNAlrrOAdt4/view?usp=sharing" TargetMode="External"/><Relationship Id="rId7" Type="http://schemas.openxmlformats.org/officeDocument/2006/relationships/hyperlink" Target="https://drive.google.com/file/d/1ol_TO33uwRR9O8K1ASOMFOIpsdJXjaYk/view?usp=sharing" TargetMode="External"/><Relationship Id="rId8" Type="http://schemas.openxmlformats.org/officeDocument/2006/relationships/hyperlink" Target="https://drive.google.com/file/d/1hJ63hsA4moO63FDDZ0SNChq-1XUuQr2Q/view?usp=sharing" TargetMode="External"/></Relationships>
</file>

<file path=xl/worksheets/_rels/sheet3.xml.rels><?xml version="1.0" encoding="UTF-8" standalone="yes"?><Relationships xmlns="http://schemas.openxmlformats.org/package/2006/relationships"><Relationship Id="rId11" Type="http://schemas.openxmlformats.org/officeDocument/2006/relationships/drawing" Target="../drawings/drawing3.xml"/><Relationship Id="rId10" Type="http://schemas.openxmlformats.org/officeDocument/2006/relationships/hyperlink" Target="https://drive.google.com/file/d/18BTfsCV85ep01JNPZKct_0F_Lp-utlTt/view?usp=sharing" TargetMode="External"/><Relationship Id="rId1" Type="http://schemas.openxmlformats.org/officeDocument/2006/relationships/hyperlink" Target="https://drive.google.com/file/d/1JOPhnpOuRnYiPRGWIx3mkqPuWHiO49tN/view?usp=sharing" TargetMode="External"/><Relationship Id="rId2" Type="http://schemas.openxmlformats.org/officeDocument/2006/relationships/hyperlink" Target="https://drive.google.com/file/d/1q-pMJCG1fmtZK-pqoOZ4jQuH1_gH4tAv/view?usp=sharing" TargetMode="External"/><Relationship Id="rId3" Type="http://schemas.openxmlformats.org/officeDocument/2006/relationships/hyperlink" Target="https://drive.google.com/file/d/1FJXfE5H8-b7wzqSupBwfPOyOnGEEO7HE/view?usp=sharing" TargetMode="External"/><Relationship Id="rId4" Type="http://schemas.openxmlformats.org/officeDocument/2006/relationships/hyperlink" Target="https://drive.google.com/file/d/1KYU76YYYzO3gE1GWyqO6iFyGXtWQxoLI/view?usp=sharing" TargetMode="External"/><Relationship Id="rId9" Type="http://schemas.openxmlformats.org/officeDocument/2006/relationships/hyperlink" Target="https://drive.google.com/file/d/16vcnsa0rDGfUu6TSh5wO82QgExMkYogG/view?usp=sharing" TargetMode="External"/><Relationship Id="rId5" Type="http://schemas.openxmlformats.org/officeDocument/2006/relationships/hyperlink" Target="https://drive.google.com/file/d/1FoL32iGvdRw74WXGEvZJz3tPvqrO6zY5/view?usp=sharing" TargetMode="External"/><Relationship Id="rId6" Type="http://schemas.openxmlformats.org/officeDocument/2006/relationships/hyperlink" Target="https://drive.google.com/file/d/1IxDtcMocs1jiAtwaXLdIMXt1NsXkbUk7/view?usp=sharing" TargetMode="External"/><Relationship Id="rId7" Type="http://schemas.openxmlformats.org/officeDocument/2006/relationships/hyperlink" Target="https://drive.google.com/file/d/14dgBFEz_m20JgJnHoTmsXHjQBJGuUm0Q/view?usp=sharing" TargetMode="External"/><Relationship Id="rId8" Type="http://schemas.openxmlformats.org/officeDocument/2006/relationships/hyperlink" Target="https://drive.google.com/file/d/1n5Pkxt-aVu72pMoTp0Ds5fuwDd4rX_aG/view?usp=shar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GKl3p0uaZ2XDi-05GbaJBkY8pSCa0nnz/view?usp=sharing" TargetMode="External"/><Relationship Id="rId2" Type="http://schemas.openxmlformats.org/officeDocument/2006/relationships/hyperlink" Target="https://drive.google.com/file/d/1LWssz4lkNHULIU1YKQ7285o14zQ94CnL/view?usp=sharing" TargetMode="External"/><Relationship Id="rId3" Type="http://schemas.openxmlformats.org/officeDocument/2006/relationships/hyperlink" Target="https://drive.google.com/file/d/1StUbZ_1JjlU9nPabPtlrP2CpmvbfIXX1/view?usp=sharing" TargetMode="External"/><Relationship Id="rId4" Type="http://schemas.openxmlformats.org/officeDocument/2006/relationships/hyperlink" Target="https://drive.google.com/file/d/1MhR8Y-ewCspUirDEIiC8HeKquFhrR_jz/view?usp=sharing" TargetMode="External"/><Relationship Id="rId5" Type="http://schemas.openxmlformats.org/officeDocument/2006/relationships/hyperlink" Target="https://drive.google.com/file/d/1_kI52UqjMohw8tQmWTeC2VVF70y3oxLB/view?usp=sharing" TargetMode="External"/><Relationship Id="rId6" Type="http://schemas.openxmlformats.org/officeDocument/2006/relationships/hyperlink" Target="https://drive.google.com/file/d/1wZ5c8zOC25OuYxIUuhY62hsWRGQKognn/view?usp=sharing" TargetMode="External"/><Relationship Id="rId7" Type="http://schemas.openxmlformats.org/officeDocument/2006/relationships/hyperlink" Target="https://drive.google.com/file/d/1N-P09FcD5iKI7y6kzvsYcg_T1Qc2_AZs/view?usp=sharing"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rive.google.com/file/d/1WfvtOuwJjlBio641fnQVe8uPGtbUfOcd/view?usp=sharing" TargetMode="External"/><Relationship Id="rId11" Type="http://schemas.openxmlformats.org/officeDocument/2006/relationships/hyperlink" Target="https://drive.google.com/file/d/1bYViHqD6rvxCJq4zsOMgWzAfFMQBQZqA/view?usp=sharing" TargetMode="External"/><Relationship Id="rId10" Type="http://schemas.openxmlformats.org/officeDocument/2006/relationships/hyperlink" Target="https://drive.google.com/file/d/1M-83dt_KevwdIfT0hy9tnDZyBUTaGF1B/view?usp=sharing" TargetMode="External"/><Relationship Id="rId21" Type="http://schemas.openxmlformats.org/officeDocument/2006/relationships/drawing" Target="../drawings/drawing5.xml"/><Relationship Id="rId13" Type="http://schemas.openxmlformats.org/officeDocument/2006/relationships/hyperlink" Target="https://drive.google.com/file/d/1c6r_lOBGNgdYgxLg5jTl4y2Nqc0v5r1m/view?usp=sharing" TargetMode="External"/><Relationship Id="rId12" Type="http://schemas.openxmlformats.org/officeDocument/2006/relationships/hyperlink" Target="https://drive.google.com/file/d/1P1Dl9C_zA9oIMcoy6AleztUPxylg0eMU/view?usp=sharing" TargetMode="External"/><Relationship Id="rId1" Type="http://schemas.openxmlformats.org/officeDocument/2006/relationships/hyperlink" Target="https://drive.google.com/file/d/1sC8u8U9Ydc2m98OJyVcIChfbSZUv8epN/view?usp=sharing" TargetMode="External"/><Relationship Id="rId2" Type="http://schemas.openxmlformats.org/officeDocument/2006/relationships/hyperlink" Target="https://drive.google.com/file/d/1q7ClTTIM8lKEmkHMNNZkuJaKbG6U1QUm/view?usp=sharing" TargetMode="External"/><Relationship Id="rId3" Type="http://schemas.openxmlformats.org/officeDocument/2006/relationships/hyperlink" Target="https://drive.google.com/file/d/1k6oYkmmcBYtiSr080RfLRsaXnnuZr-Vc/view?usp=sharing" TargetMode="External"/><Relationship Id="rId4" Type="http://schemas.openxmlformats.org/officeDocument/2006/relationships/hyperlink" Target="https://drive.google.com/file/d/1H4QurjVBzRl6XsPRpdvj4vHJQvZq03H3/view?usp=sharing" TargetMode="External"/><Relationship Id="rId9" Type="http://schemas.openxmlformats.org/officeDocument/2006/relationships/hyperlink" Target="https://drive.google.com/file/d/1rvhnoGSgwDbm-wzuiTpr_lfnRH-S31-e/view?usp=sharing" TargetMode="External"/><Relationship Id="rId15" Type="http://schemas.openxmlformats.org/officeDocument/2006/relationships/hyperlink" Target="https://drive.google.com/file/d/1cO5VBxu5Bj4jdc-FMDtTFfxMhuHUTBPz/view?usp=sharing" TargetMode="External"/><Relationship Id="rId14" Type="http://schemas.openxmlformats.org/officeDocument/2006/relationships/hyperlink" Target="https://drive.google.com/file/d/1NL6CaLERcUwWDTMqLg03XSx1ZgWY07hR/view?usp=sharing" TargetMode="External"/><Relationship Id="rId17" Type="http://schemas.openxmlformats.org/officeDocument/2006/relationships/hyperlink" Target="https://drive.google.com/file/d/16ynh8SmlLjgWHLHXjYzYc2ult4TJNVPU/view?usp=sharing" TargetMode="External"/><Relationship Id="rId16" Type="http://schemas.openxmlformats.org/officeDocument/2006/relationships/hyperlink" Target="https://drive.google.com/file/d/116XxnBLrWIeDOWcgnl60CrC-o9Ss_dq9/view?usp=sharing" TargetMode="External"/><Relationship Id="rId5" Type="http://schemas.openxmlformats.org/officeDocument/2006/relationships/hyperlink" Target="https://drive.google.com/file/d/15CtU5G-7Oz9zJoTxVmDlLs4De3yEjAbI/view?usp=sharing" TargetMode="External"/><Relationship Id="rId19" Type="http://schemas.openxmlformats.org/officeDocument/2006/relationships/hyperlink" Target="https://drive.google.com/file/d/1EsKOKeKiceTCq-O-vFdFqTj7xfxHmxbG/view?usp=sharing" TargetMode="External"/><Relationship Id="rId6" Type="http://schemas.openxmlformats.org/officeDocument/2006/relationships/hyperlink" Target="https://drive.google.com/file/d/1GqW4_PQXl3WYBs5GEbpEe71zc2fyXXiZ/view?usp=sharing" TargetMode="External"/><Relationship Id="rId18" Type="http://schemas.openxmlformats.org/officeDocument/2006/relationships/hyperlink" Target="https://drive.google.com/file/d/1qbsNWXhr7KTyG8qxHbTfM3bxZvjPN9JJ/view?usp=sharing" TargetMode="External"/><Relationship Id="rId7" Type="http://schemas.openxmlformats.org/officeDocument/2006/relationships/hyperlink" Target="https://drive.google.com/file/d/16QvgJFLYx6rmaVS9O_CQGxeRISesHMxb/view?usp=sharing" TargetMode="External"/><Relationship Id="rId8" Type="http://schemas.openxmlformats.org/officeDocument/2006/relationships/hyperlink" Target="https://drive.google.com/file/d/1VnCemKFiTN3row-mCPpfxC3JhJJyrJ7b/view?usp=sharing"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GBpkrpNhOIZmX_gJlHrAAIwDxyWt91pW/view?usp=sharing" TargetMode="External"/><Relationship Id="rId2" Type="http://schemas.openxmlformats.org/officeDocument/2006/relationships/hyperlink" Target="https://drive.google.com/file/d/1X1ssfzHuzYdWnQWxZlfYVUDcESeg_pfb/view?usp=sharing" TargetMode="External"/><Relationship Id="rId3" Type="http://schemas.openxmlformats.org/officeDocument/2006/relationships/hyperlink" Target="https://drive.google.com/file/d/1T0OJTOG-X4i9qTbn9sIsDXg8zURy0x1d/view?usp=sharing" TargetMode="External"/><Relationship Id="rId4" Type="http://schemas.openxmlformats.org/officeDocument/2006/relationships/hyperlink" Target="https://drive.google.com/file/d/1V6WijgR_UufQJc0zyknZFwEBcCFRDFOa/view?usp=sharing" TargetMode="External"/><Relationship Id="rId5" Type="http://schemas.openxmlformats.org/officeDocument/2006/relationships/hyperlink" Target="https://drive.google.com/file/d/12gj4B5LwGzZzdx8firMtEBTEif14WnCw/view?usp=sharing" TargetMode="External"/><Relationship Id="rId6" Type="http://schemas.openxmlformats.org/officeDocument/2006/relationships/hyperlink" Target="https://drive.google.com/file/d/1-6f5c0c8mImgfIXMV_BMUT6PMjKkNmID/view?usp=sharing" TargetMode="External"/><Relationship Id="rId7" Type="http://schemas.openxmlformats.org/officeDocument/2006/relationships/hyperlink" Target="https://drive.google.com/file/d/1KuRSbSJoS3PCzShKPKmC3A-6CJAUSdNo/view?usp=sharing"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0" Type="http://schemas.openxmlformats.org/officeDocument/2006/relationships/drawing" Target="../drawings/drawing7.xml"/><Relationship Id="rId1" Type="http://schemas.openxmlformats.org/officeDocument/2006/relationships/hyperlink" Target="https://drive.google.com/file/d/1ofSBryDf1VfDPb-F59RiJmK2Pe_pVDKJ/view?usp=sharing" TargetMode="External"/><Relationship Id="rId2" Type="http://schemas.openxmlformats.org/officeDocument/2006/relationships/hyperlink" Target="https://drive.google.com/file/d/1gXUnbVnEDLmzYIrJdJozp9-KtJLf5kli/view?usp=sharing" TargetMode="External"/><Relationship Id="rId3" Type="http://schemas.openxmlformats.org/officeDocument/2006/relationships/hyperlink" Target="https://drive.google.com/file/d/1ZColJv7Gnk1_j-dG6hJfQ8wW8qTkf37l/view?usp=sharing" TargetMode="External"/><Relationship Id="rId4" Type="http://schemas.openxmlformats.org/officeDocument/2006/relationships/hyperlink" Target="https://drive.google.com/file/d/1YVT3u1CGVbHb3OKQkNXsvhsV7_T8UYCm/view?usp=sharing" TargetMode="External"/><Relationship Id="rId9" Type="http://schemas.openxmlformats.org/officeDocument/2006/relationships/hyperlink" Target="https://drive.google.com/file/d/171w6dr8M8lmW9qbmnGvshRHegI0knQ9A/view?usp=sharing" TargetMode="External"/><Relationship Id="rId5" Type="http://schemas.openxmlformats.org/officeDocument/2006/relationships/hyperlink" Target="https://drive.google.com/file/d/1N2WZErurq3eeepMeKtUxybIm76VXrqgL/view?usp=sharing" TargetMode="External"/><Relationship Id="rId6" Type="http://schemas.openxmlformats.org/officeDocument/2006/relationships/hyperlink" Target="https://drive.google.com/file/d/1KQcy8ae7EOEiRv3eiYptZMNquAQnNicr/view?usp=sharing" TargetMode="External"/><Relationship Id="rId7" Type="http://schemas.openxmlformats.org/officeDocument/2006/relationships/hyperlink" Target="https://drive.google.com/file/d/1uWeZgGc2ujbk1h9TgkwURkfjEl895ksh/view?usp=sharing" TargetMode="External"/><Relationship Id="rId8" Type="http://schemas.openxmlformats.org/officeDocument/2006/relationships/hyperlink" Target="https://drive.google.com/file/d/1BuFg9Bfl4yFfmxff_WlIQFyBSEkU6z0U/view?usp=sharing"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rive.google.com/file/d/1mRQGzsvBAV8As4shaVJzvktwXQwC-UBA/view?usp=sharing" TargetMode="External"/><Relationship Id="rId11" Type="http://schemas.openxmlformats.org/officeDocument/2006/relationships/hyperlink" Target="https://drive.google.com/file/d/1xwznydImAckV_aLI_CRlk5KUjI_Xmqev/view?usp=sharing" TargetMode="External"/><Relationship Id="rId10" Type="http://schemas.openxmlformats.org/officeDocument/2006/relationships/hyperlink" Target="https://drive.google.com/file/d/1xFd7GG51PDvvn9VxwKuIwE9jd1Vto0tc/view?usp=sharing" TargetMode="External"/><Relationship Id="rId21" Type="http://schemas.openxmlformats.org/officeDocument/2006/relationships/drawing" Target="../drawings/drawing8.xml"/><Relationship Id="rId13" Type="http://schemas.openxmlformats.org/officeDocument/2006/relationships/hyperlink" Target="https://drive.google.com/file/d/1St0Go3aTk8K8RIpQYVUHLk5XvstnA6DU/view?usp=sharing" TargetMode="External"/><Relationship Id="rId12" Type="http://schemas.openxmlformats.org/officeDocument/2006/relationships/hyperlink" Target="https://drive.google.com/file/d/1KD4UnMTXRmw_HUIWb24N084jTGAb5ifL/view?usp=sharing" TargetMode="External"/><Relationship Id="rId1" Type="http://schemas.openxmlformats.org/officeDocument/2006/relationships/hyperlink" Target="https://drive.google.com/file/d/14mQfuA_PQA3rGA9z5SOFLPYhmLlCqow2/view?usp=sharing" TargetMode="External"/><Relationship Id="rId2" Type="http://schemas.openxmlformats.org/officeDocument/2006/relationships/hyperlink" Target="https://drive.google.com/file/d/1t_4tFPJ2lWLzdL8VNyIu-AkbiS5NtzZb/view?usp=sharing" TargetMode="External"/><Relationship Id="rId3" Type="http://schemas.openxmlformats.org/officeDocument/2006/relationships/hyperlink" Target="https://drive.google.com/file/d/1NGvz3UoZb4IQ_8_4LXgAJZm7n6b7ca1n/view?usp=sharing" TargetMode="External"/><Relationship Id="rId4" Type="http://schemas.openxmlformats.org/officeDocument/2006/relationships/hyperlink" Target="https://drive.google.com/file/d/1z3h8pLQEaPFYSsFl6g0hZwmUmnBLWjqj/view?usp=drive_link" TargetMode="External"/><Relationship Id="rId9" Type="http://schemas.openxmlformats.org/officeDocument/2006/relationships/hyperlink" Target="https://drive.google.com/file/d/1S90j5ofkzXFHbEmhdMwLkGR3HElwQ6p3/view?usp=sharing" TargetMode="External"/><Relationship Id="rId15" Type="http://schemas.openxmlformats.org/officeDocument/2006/relationships/hyperlink" Target="https://drive.google.com/file/d/1CP-83EXbXkyCaC9pBvvB_xHUlWIwirsl/view?usp=sharing" TargetMode="External"/><Relationship Id="rId14" Type="http://schemas.openxmlformats.org/officeDocument/2006/relationships/hyperlink" Target="https://drive.google.com/file/d/1SVJJTc_nBtYDaGxtGIt04U_rY_ag6p2j/view?usp=sharing" TargetMode="External"/><Relationship Id="rId17" Type="http://schemas.openxmlformats.org/officeDocument/2006/relationships/hyperlink" Target="https://drive.google.com/file/d/1RoLtQC7s4cnejDN8YhNaKAYW6pHW7gFZ/view?usp=sharing" TargetMode="External"/><Relationship Id="rId16" Type="http://schemas.openxmlformats.org/officeDocument/2006/relationships/hyperlink" Target="https://drive.google.com/file/d/1FJOHMpvGczGG5Esa3qUmRmi4nWyD6rsk/view?usp=sharing" TargetMode="External"/><Relationship Id="rId5" Type="http://schemas.openxmlformats.org/officeDocument/2006/relationships/hyperlink" Target="https://drive.google.com/file/d/1nEMob1VPIABjK11MELkQARlbqD7L8TOy/view?usp=sharing" TargetMode="External"/><Relationship Id="rId19" Type="http://schemas.openxmlformats.org/officeDocument/2006/relationships/hyperlink" Target="https://drive.google.com/file/d/1ekMAXgp9q4m251S6LmkBgKzER2gawMEg/view?usp=sharing" TargetMode="External"/><Relationship Id="rId6" Type="http://schemas.openxmlformats.org/officeDocument/2006/relationships/hyperlink" Target="https://drive.google.com/file/d/1uuLGcnXe-4yXKADda_B9-9LTGJ-2WFrQ/view?usp=sharing" TargetMode="External"/><Relationship Id="rId18" Type="http://schemas.openxmlformats.org/officeDocument/2006/relationships/hyperlink" Target="https://drive.google.com/file/d/1nN38zhZyclp92hWMma4fxy9XOUKi91R0/view?usp=sharing" TargetMode="External"/><Relationship Id="rId7" Type="http://schemas.openxmlformats.org/officeDocument/2006/relationships/hyperlink" Target="https://drive.google.com/file/d/1Ot3YmPWMdo6t77EgfLH_MM01Ltl-jyLE/view?usp=sharing" TargetMode="External"/><Relationship Id="rId8" Type="http://schemas.openxmlformats.org/officeDocument/2006/relationships/hyperlink" Target="https://drive.google.com/file/d/1gjmFKnp_-xCCfjgh-ooeFVS3IVt9CZHv/view?usp=sharing"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s://drive.google.com/file/d/1gAkY-yA4gfmOaW0Z90VXR_AF0PMTwwuB/view?usp=sharing" TargetMode="External"/><Relationship Id="rId10" Type="http://schemas.openxmlformats.org/officeDocument/2006/relationships/hyperlink" Target="https://drive.google.com/file/d/1162cAZgkaGjZk1A7y9b8oTI5DiPbvr74/view?usp=sharing" TargetMode="External"/><Relationship Id="rId13" Type="http://schemas.openxmlformats.org/officeDocument/2006/relationships/hyperlink" Target="https://drive.google.com/file/d/1kc2uclhuGrAQs_JIHy0YPShu8Tyq-298/view?usp=sharing" TargetMode="External"/><Relationship Id="rId12" Type="http://schemas.openxmlformats.org/officeDocument/2006/relationships/hyperlink" Target="https://drive.google.com/file/d/1yCsdenxU4xeCGABHRORcsz6yjOYoAqiS/view?usp=sharing" TargetMode="External"/><Relationship Id="rId1" Type="http://schemas.openxmlformats.org/officeDocument/2006/relationships/hyperlink" Target="https://drive.google.com/file/d/1qUuSd03jcu2kGNszZjSlqWOgWS46ejSN/view?usp=sharing" TargetMode="External"/><Relationship Id="rId2" Type="http://schemas.openxmlformats.org/officeDocument/2006/relationships/hyperlink" Target="https://drive.google.com/file/d/1cOiFup-UwDhzaYM1asDxChiRbPG7N6Hs/view?usp=sharing" TargetMode="External"/><Relationship Id="rId3" Type="http://schemas.openxmlformats.org/officeDocument/2006/relationships/hyperlink" Target="https://drive.google.com/file/d/1hth-I6WS67IAah3JWX0riu7oiZQIbxAK/view?usp=sharing" TargetMode="External"/><Relationship Id="rId4" Type="http://schemas.openxmlformats.org/officeDocument/2006/relationships/hyperlink" Target="https://drive.google.com/file/d/1Q47UWd-DxKd9bGvmGvXF4ZcKWEpML9sx/view?usp=sharing" TargetMode="External"/><Relationship Id="rId9" Type="http://schemas.openxmlformats.org/officeDocument/2006/relationships/hyperlink" Target="https://drive.google.com/file/d/1kD2EFgpevIdMGweMZYL8ygirZIq7Hi1B/view?usp=sharing" TargetMode="External"/><Relationship Id="rId15" Type="http://schemas.openxmlformats.org/officeDocument/2006/relationships/hyperlink" Target="https://drive.google.com/file/d/1HNL6dHnBdUS9pWGfWB0UlEiIaqp9AATt/view?usp=sharing" TargetMode="External"/><Relationship Id="rId14" Type="http://schemas.openxmlformats.org/officeDocument/2006/relationships/hyperlink" Target="https://drive.google.com/file/d/1QC-kFUQOU162HesBGN9GuURPI_jzEKc9/view?usp=sharing" TargetMode="External"/><Relationship Id="rId17" Type="http://schemas.openxmlformats.org/officeDocument/2006/relationships/hyperlink" Target="https://drive.google.com/file/d/1xRSd3MFlZANDvsSUIYeola7KxIoksbne/view?usp=sharing" TargetMode="External"/><Relationship Id="rId16" Type="http://schemas.openxmlformats.org/officeDocument/2006/relationships/hyperlink" Target="https://drive.google.com/file/d/1Z6qrypGyiOjb09QkVW1Q34-r9D3nU_NK/view?usp=sharing" TargetMode="External"/><Relationship Id="rId5" Type="http://schemas.openxmlformats.org/officeDocument/2006/relationships/hyperlink" Target="https://drive.google.com/file/d/1uuLGcnXe-4yXKADda_B9-9LTGJ-2WFrQ/view?usp=sharing" TargetMode="External"/><Relationship Id="rId19" Type="http://schemas.openxmlformats.org/officeDocument/2006/relationships/drawing" Target="../drawings/drawing9.xml"/><Relationship Id="rId6" Type="http://schemas.openxmlformats.org/officeDocument/2006/relationships/hyperlink" Target="https://drive.google.com/file/d/1GwLPHC0FZnqFCWwg4NeuE3zsvJ01S-SQ/view?usp=sharing" TargetMode="External"/><Relationship Id="rId18" Type="http://schemas.openxmlformats.org/officeDocument/2006/relationships/hyperlink" Target="https://drive.google.com/file/d/1D2khYVm_R8bbm_3qYDVpI9XF7iZkZQen/view?usp=sharing" TargetMode="External"/><Relationship Id="rId7" Type="http://schemas.openxmlformats.org/officeDocument/2006/relationships/hyperlink" Target="https://drive.google.com/file/d/1CZoHp58pgSLkq871YD5HzTN8SqxgnTZy/view?usp=sharing" TargetMode="External"/><Relationship Id="rId8" Type="http://schemas.openxmlformats.org/officeDocument/2006/relationships/hyperlink" Target="https://drive.google.com/file/d/1yc-MK5ld3kZUASurKMOz11YkVojRYnbd/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5"/>
    <col customWidth="1" min="4" max="4" width="21.0"/>
    <col customWidth="1" min="5" max="5" width="57.88"/>
    <col customWidth="1" min="6" max="6" width="18.38"/>
    <col customWidth="1" min="7" max="7" width="23.5"/>
    <col customWidth="1" min="8" max="8" width="63.63"/>
  </cols>
  <sheetData>
    <row r="1">
      <c r="A1" s="1"/>
      <c r="B1" s="1"/>
      <c r="C1" s="1"/>
      <c r="D1" s="1"/>
      <c r="E1" s="1"/>
      <c r="F1" s="1"/>
      <c r="G1" s="1"/>
      <c r="H1" s="1"/>
    </row>
    <row r="2">
      <c r="A2" s="2"/>
      <c r="B2" s="3" t="s">
        <v>0</v>
      </c>
      <c r="C2" s="2"/>
      <c r="D2" s="2"/>
      <c r="E2" s="2"/>
      <c r="F2" s="2"/>
      <c r="G2" s="2"/>
      <c r="H2" s="1"/>
    </row>
    <row r="3">
      <c r="A3" s="2"/>
      <c r="B3" s="4" t="s">
        <v>1</v>
      </c>
      <c r="C3" s="5">
        <v>46174.0</v>
      </c>
      <c r="D3" s="6"/>
      <c r="E3" s="2"/>
      <c r="F3" s="2"/>
      <c r="G3" s="2"/>
      <c r="H3" s="1"/>
    </row>
    <row r="4">
      <c r="A4" s="2"/>
      <c r="B4" s="4" t="s">
        <v>2</v>
      </c>
      <c r="C4" s="7">
        <v>46109.0</v>
      </c>
      <c r="D4" s="8"/>
      <c r="E4" s="2"/>
      <c r="F4" s="2"/>
      <c r="G4" s="2"/>
      <c r="H4" s="1"/>
    </row>
    <row r="5">
      <c r="A5" s="2"/>
      <c r="B5" s="9"/>
      <c r="C5" s="6"/>
      <c r="D5" s="6"/>
      <c r="E5" s="2"/>
      <c r="F5" s="2"/>
      <c r="G5" s="2"/>
      <c r="H5" s="1"/>
    </row>
    <row r="6">
      <c r="A6" s="2"/>
      <c r="B6" s="4" t="s">
        <v>3</v>
      </c>
      <c r="C6" s="10" t="s">
        <v>4</v>
      </c>
      <c r="D6" s="11"/>
      <c r="E6" s="12"/>
      <c r="F6" s="2"/>
      <c r="G6" s="2"/>
      <c r="H6" s="1"/>
    </row>
    <row r="7">
      <c r="A7" s="2"/>
      <c r="B7" s="4" t="s">
        <v>5</v>
      </c>
      <c r="C7" s="10" t="s">
        <v>6</v>
      </c>
      <c r="D7" s="11"/>
      <c r="E7" s="12"/>
      <c r="F7" s="2"/>
      <c r="G7" s="2"/>
      <c r="H7" s="1"/>
    </row>
    <row r="8">
      <c r="A8" s="2"/>
      <c r="B8" s="9"/>
      <c r="C8" s="2"/>
      <c r="D8" s="2"/>
      <c r="E8" s="2"/>
      <c r="F8" s="2"/>
      <c r="G8" s="2"/>
      <c r="H8" s="1"/>
    </row>
    <row r="9">
      <c r="A9" s="2"/>
      <c r="B9" s="13"/>
      <c r="C9" s="13"/>
      <c r="D9" s="13"/>
      <c r="E9" s="13"/>
      <c r="F9" s="2"/>
      <c r="G9" s="2"/>
      <c r="H9" s="1"/>
    </row>
    <row r="10">
      <c r="A10" s="1"/>
      <c r="B10" s="14" t="s">
        <v>7</v>
      </c>
      <c r="C10" s="1"/>
      <c r="D10" s="1"/>
      <c r="E10" s="1"/>
      <c r="F10" s="1"/>
      <c r="G10" s="1"/>
      <c r="H10" s="1"/>
    </row>
    <row r="11">
      <c r="A11" s="15"/>
      <c r="B11" s="16" t="s">
        <v>8</v>
      </c>
      <c r="C11" s="16" t="s">
        <v>9</v>
      </c>
      <c r="D11" s="16" t="s">
        <v>10</v>
      </c>
      <c r="E11" s="16" t="s">
        <v>11</v>
      </c>
      <c r="F11" s="16" t="s">
        <v>12</v>
      </c>
      <c r="G11" s="17" t="s">
        <v>13</v>
      </c>
      <c r="H11" s="16" t="s">
        <v>14</v>
      </c>
    </row>
    <row r="12">
      <c r="A12" s="15"/>
      <c r="B12" s="18">
        <v>46109.0</v>
      </c>
      <c r="C12" s="19" t="s">
        <v>15</v>
      </c>
      <c r="D12" s="19" t="s">
        <v>16</v>
      </c>
      <c r="E12" s="20" t="s">
        <v>17</v>
      </c>
      <c r="F12" s="19" t="s">
        <v>18</v>
      </c>
      <c r="G12" s="21" t="s">
        <v>19</v>
      </c>
      <c r="H12" s="22" t="s">
        <v>20</v>
      </c>
    </row>
    <row r="13">
      <c r="A13" s="15"/>
      <c r="B13" s="23">
        <v>46116.0</v>
      </c>
      <c r="C13" s="19" t="s">
        <v>21</v>
      </c>
      <c r="D13" s="19" t="s">
        <v>22</v>
      </c>
      <c r="E13" s="20" t="s">
        <v>23</v>
      </c>
      <c r="F13" s="19" t="s">
        <v>18</v>
      </c>
      <c r="G13" s="21" t="s">
        <v>19</v>
      </c>
      <c r="H13" s="22" t="s">
        <v>24</v>
      </c>
    </row>
    <row r="14">
      <c r="A14" s="15"/>
      <c r="B14" s="23">
        <v>46121.0</v>
      </c>
      <c r="C14" s="19" t="s">
        <v>25</v>
      </c>
      <c r="D14" s="24" t="s">
        <v>26</v>
      </c>
      <c r="E14" s="20" t="s">
        <v>27</v>
      </c>
      <c r="F14" s="19" t="s">
        <v>18</v>
      </c>
      <c r="G14" s="21" t="s">
        <v>19</v>
      </c>
      <c r="H14" s="22" t="s">
        <v>28</v>
      </c>
    </row>
    <row r="15">
      <c r="A15" s="15"/>
      <c r="B15" s="23">
        <v>46134.0</v>
      </c>
      <c r="C15" s="19" t="s">
        <v>29</v>
      </c>
      <c r="D15" s="19" t="s">
        <v>30</v>
      </c>
      <c r="E15" s="20" t="s">
        <v>31</v>
      </c>
      <c r="F15" s="19" t="s">
        <v>18</v>
      </c>
      <c r="G15" s="21" t="s">
        <v>19</v>
      </c>
      <c r="H15" s="22" t="s">
        <v>32</v>
      </c>
    </row>
    <row r="16">
      <c r="A16" s="25"/>
      <c r="B16" s="18">
        <v>46136.0</v>
      </c>
      <c r="C16" s="19" t="s">
        <v>33</v>
      </c>
      <c r="D16" s="19" t="s">
        <v>34</v>
      </c>
      <c r="E16" s="20" t="s">
        <v>35</v>
      </c>
      <c r="F16" s="19" t="s">
        <v>18</v>
      </c>
      <c r="G16" s="21" t="s">
        <v>19</v>
      </c>
      <c r="H16" s="22" t="s">
        <v>36</v>
      </c>
    </row>
    <row r="17">
      <c r="A17" s="25"/>
      <c r="B17" s="18">
        <v>46151.0</v>
      </c>
      <c r="C17" s="19" t="s">
        <v>37</v>
      </c>
      <c r="D17" s="19" t="s">
        <v>38</v>
      </c>
      <c r="E17" s="26" t="s">
        <v>39</v>
      </c>
      <c r="F17" s="19" t="s">
        <v>18</v>
      </c>
      <c r="G17" s="21" t="s">
        <v>19</v>
      </c>
      <c r="H17" s="22" t="s">
        <v>32</v>
      </c>
    </row>
    <row r="18">
      <c r="A18" s="15"/>
      <c r="B18" s="18">
        <v>46152.0</v>
      </c>
      <c r="C18" s="27">
        <v>46174.0</v>
      </c>
      <c r="D18" s="19" t="s">
        <v>40</v>
      </c>
      <c r="E18" s="26" t="s">
        <v>41</v>
      </c>
      <c r="F18" s="19" t="s">
        <v>18</v>
      </c>
      <c r="G18" s="26" t="s">
        <v>19</v>
      </c>
      <c r="H18" s="26" t="s">
        <v>42</v>
      </c>
    </row>
  </sheetData>
  <mergeCells count="2">
    <mergeCell ref="C6:E6"/>
    <mergeCell ref="C7:E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25"/>
    <col customWidth="1" min="2" max="2" width="29.13"/>
    <col customWidth="1" min="3" max="3" width="84.88"/>
    <col customWidth="1" min="6" max="6" width="33.0"/>
    <col customWidth="1" min="7" max="7" width="32.5"/>
    <col customWidth="1" min="10" max="10" width="45.13"/>
    <col customWidth="1" min="11" max="11" width="13.63"/>
    <col customWidth="1" min="12" max="12" width="21.25"/>
  </cols>
  <sheetData>
    <row r="1">
      <c r="A1" s="28" t="s">
        <v>0</v>
      </c>
      <c r="B1" s="29"/>
      <c r="E1" s="30"/>
      <c r="F1" s="30"/>
      <c r="G1" s="30"/>
      <c r="H1" s="30"/>
      <c r="I1" s="6"/>
      <c r="J1" s="30"/>
    </row>
    <row r="2">
      <c r="A2" s="30"/>
      <c r="B2" s="31"/>
      <c r="C2" s="31"/>
      <c r="D2" s="31"/>
      <c r="E2" s="30"/>
      <c r="F2" s="30"/>
      <c r="G2" s="30"/>
      <c r="H2" s="30"/>
      <c r="I2" s="6"/>
      <c r="J2" s="30"/>
    </row>
    <row r="3">
      <c r="A3" s="32" t="s">
        <v>43</v>
      </c>
      <c r="B3" s="33" t="s">
        <v>4</v>
      </c>
      <c r="C3" s="11"/>
      <c r="D3" s="12"/>
      <c r="E3" s="34"/>
      <c r="F3" s="34"/>
      <c r="G3" s="34"/>
      <c r="H3" s="35"/>
      <c r="I3" s="36"/>
      <c r="J3" s="36"/>
    </row>
    <row r="4">
      <c r="A4" s="37" t="s">
        <v>44</v>
      </c>
      <c r="B4" s="38" t="s">
        <v>45</v>
      </c>
      <c r="C4" s="11"/>
      <c r="D4" s="12"/>
      <c r="E4" s="34"/>
      <c r="F4" s="34"/>
      <c r="G4" s="34"/>
      <c r="H4" s="35"/>
      <c r="I4" s="36"/>
      <c r="J4" s="36"/>
    </row>
    <row r="5">
      <c r="A5" s="37" t="s">
        <v>46</v>
      </c>
      <c r="B5" s="33" t="s">
        <v>47</v>
      </c>
      <c r="C5" s="11"/>
      <c r="D5" s="12"/>
      <c r="E5" s="34"/>
      <c r="F5" s="34"/>
      <c r="G5" s="34"/>
      <c r="H5" s="35"/>
      <c r="I5" s="36"/>
      <c r="J5" s="36"/>
    </row>
    <row r="6">
      <c r="A6" s="39" t="s">
        <v>48</v>
      </c>
      <c r="B6" s="39">
        <v>8.0</v>
      </c>
      <c r="C6" s="40" t="s">
        <v>49</v>
      </c>
      <c r="D6" s="40">
        <v>0.0</v>
      </c>
      <c r="E6" s="35"/>
      <c r="F6" s="35"/>
      <c r="G6" s="35"/>
      <c r="H6" s="35"/>
      <c r="I6" s="36"/>
      <c r="J6" s="36"/>
    </row>
    <row r="7">
      <c r="A7" s="39" t="s">
        <v>50</v>
      </c>
      <c r="B7" s="39">
        <v>3.0</v>
      </c>
      <c r="C7" s="41" t="s">
        <v>51</v>
      </c>
      <c r="D7" s="40">
        <v>11.0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c r="K9" s="48" t="s">
        <v>60</v>
      </c>
      <c r="L9" s="48" t="s">
        <v>61</v>
      </c>
    </row>
    <row r="10">
      <c r="A10" s="49"/>
      <c r="B10" s="49"/>
      <c r="C10" s="49"/>
      <c r="D10" s="50"/>
      <c r="E10" s="31"/>
      <c r="F10" s="31"/>
      <c r="G10" s="49"/>
      <c r="H10" s="49"/>
      <c r="I10" s="49"/>
      <c r="J10" s="49"/>
      <c r="K10" s="49"/>
      <c r="L10" s="49"/>
    </row>
    <row r="11">
      <c r="A11" s="51"/>
      <c r="B11" s="43"/>
      <c r="C11" s="43"/>
      <c r="D11" s="43"/>
      <c r="E11" s="43"/>
      <c r="F11" s="43"/>
      <c r="G11" s="11"/>
      <c r="H11" s="11"/>
      <c r="I11" s="11"/>
      <c r="J11" s="11"/>
      <c r="K11" s="11"/>
      <c r="L11" s="11"/>
    </row>
    <row r="12">
      <c r="A12" s="52" t="s">
        <v>62</v>
      </c>
      <c r="B12" s="11"/>
      <c r="C12" s="11"/>
      <c r="D12" s="11"/>
      <c r="E12" s="11"/>
      <c r="F12" s="11"/>
      <c r="G12" s="11"/>
      <c r="H12" s="11"/>
      <c r="I12" s="11"/>
      <c r="J12" s="11"/>
      <c r="K12" s="11"/>
      <c r="L12" s="12"/>
    </row>
    <row r="13">
      <c r="A13" s="53" t="s">
        <v>63</v>
      </c>
      <c r="B13" s="54" t="s">
        <v>64</v>
      </c>
      <c r="C13" s="54" t="s">
        <v>65</v>
      </c>
      <c r="D13" s="55" t="s">
        <v>66</v>
      </c>
      <c r="E13" s="43"/>
      <c r="F13" s="43"/>
      <c r="G13" s="56" t="s">
        <v>67</v>
      </c>
      <c r="H13" s="57">
        <v>46109.0</v>
      </c>
      <c r="I13" s="53" t="s">
        <v>48</v>
      </c>
      <c r="J13" s="54" t="s">
        <v>68</v>
      </c>
      <c r="L13" s="54"/>
    </row>
    <row r="14">
      <c r="A14" s="52" t="s">
        <v>69</v>
      </c>
      <c r="B14" s="11"/>
      <c r="C14" s="11"/>
      <c r="D14" s="11"/>
      <c r="E14" s="11"/>
      <c r="F14" s="11"/>
      <c r="G14" s="11"/>
      <c r="H14" s="11"/>
      <c r="I14" s="11"/>
      <c r="J14" s="11"/>
      <c r="K14" s="11"/>
      <c r="L14" s="12"/>
    </row>
    <row r="15">
      <c r="A15" s="53" t="s">
        <v>70</v>
      </c>
      <c r="B15" s="54" t="s">
        <v>71</v>
      </c>
      <c r="C15" s="58" t="s">
        <v>72</v>
      </c>
      <c r="D15" s="55" t="s">
        <v>73</v>
      </c>
      <c r="E15" s="43"/>
      <c r="F15" s="43"/>
      <c r="G15" s="56" t="s">
        <v>74</v>
      </c>
      <c r="H15" s="57">
        <v>46109.0</v>
      </c>
      <c r="I15" s="53" t="s">
        <v>50</v>
      </c>
      <c r="J15" s="58" t="s">
        <v>75</v>
      </c>
      <c r="K15" s="58" t="s">
        <v>48</v>
      </c>
      <c r="L15" s="59" t="s">
        <v>76</v>
      </c>
    </row>
    <row r="16">
      <c r="A16" s="53" t="s">
        <v>77</v>
      </c>
      <c r="B16" s="54" t="s">
        <v>78</v>
      </c>
      <c r="C16" s="54" t="s">
        <v>79</v>
      </c>
      <c r="D16" s="55" t="s">
        <v>80</v>
      </c>
      <c r="E16" s="43"/>
      <c r="F16" s="43"/>
      <c r="G16" s="56" t="s">
        <v>81</v>
      </c>
      <c r="H16" s="57">
        <v>46109.0</v>
      </c>
      <c r="I16" s="53" t="s">
        <v>48</v>
      </c>
      <c r="J16" s="54" t="s">
        <v>82</v>
      </c>
      <c r="K16" s="54"/>
      <c r="L16" s="54"/>
    </row>
    <row r="17">
      <c r="A17" s="53" t="s">
        <v>83</v>
      </c>
      <c r="B17" s="54" t="s">
        <v>84</v>
      </c>
      <c r="C17" s="58" t="s">
        <v>85</v>
      </c>
      <c r="D17" s="55" t="s">
        <v>86</v>
      </c>
      <c r="E17" s="43"/>
      <c r="F17" s="43"/>
      <c r="G17" s="56" t="s">
        <v>87</v>
      </c>
      <c r="H17" s="57">
        <v>46109.0</v>
      </c>
      <c r="I17" s="53" t="s">
        <v>50</v>
      </c>
      <c r="J17" s="58" t="s">
        <v>88</v>
      </c>
      <c r="K17" s="58" t="s">
        <v>48</v>
      </c>
      <c r="L17" s="59" t="s">
        <v>76</v>
      </c>
    </row>
    <row r="18">
      <c r="A18" s="53" t="s">
        <v>89</v>
      </c>
      <c r="B18" s="54" t="s">
        <v>90</v>
      </c>
      <c r="C18" s="58" t="s">
        <v>91</v>
      </c>
      <c r="D18" s="55" t="s">
        <v>92</v>
      </c>
      <c r="E18" s="43"/>
      <c r="F18" s="43"/>
      <c r="G18" s="56" t="s">
        <v>93</v>
      </c>
      <c r="H18" s="57">
        <v>46109.0</v>
      </c>
      <c r="I18" s="53" t="s">
        <v>50</v>
      </c>
      <c r="J18" s="58" t="s">
        <v>94</v>
      </c>
      <c r="K18" s="58" t="s">
        <v>48</v>
      </c>
      <c r="L18" s="59" t="s">
        <v>76</v>
      </c>
    </row>
    <row r="19">
      <c r="A19" s="53" t="s">
        <v>95</v>
      </c>
      <c r="B19" s="54" t="s">
        <v>96</v>
      </c>
      <c r="C19" s="54" t="s">
        <v>97</v>
      </c>
      <c r="D19" s="55" t="s">
        <v>98</v>
      </c>
      <c r="E19" s="43"/>
      <c r="F19" s="43"/>
      <c r="G19" s="56" t="s">
        <v>99</v>
      </c>
      <c r="H19" s="57">
        <v>46109.0</v>
      </c>
      <c r="I19" s="53" t="s">
        <v>48</v>
      </c>
      <c r="J19" s="54" t="s">
        <v>100</v>
      </c>
      <c r="K19" s="54"/>
      <c r="L19" s="54"/>
    </row>
    <row r="20">
      <c r="A20" s="52" t="s">
        <v>101</v>
      </c>
      <c r="B20" s="11"/>
      <c r="C20" s="11"/>
      <c r="D20" s="11"/>
      <c r="E20" s="11"/>
      <c r="F20" s="11"/>
      <c r="G20" s="11"/>
      <c r="H20" s="11"/>
      <c r="I20" s="11"/>
      <c r="J20" s="11"/>
      <c r="K20" s="11"/>
      <c r="L20" s="12"/>
    </row>
    <row r="21">
      <c r="A21" s="53" t="s">
        <v>102</v>
      </c>
      <c r="B21" s="54" t="s">
        <v>103</v>
      </c>
      <c r="C21" s="54" t="s">
        <v>104</v>
      </c>
      <c r="D21" s="55" t="s">
        <v>105</v>
      </c>
      <c r="E21" s="43"/>
      <c r="F21" s="43"/>
      <c r="G21" s="56" t="s">
        <v>106</v>
      </c>
      <c r="H21" s="57">
        <v>46109.0</v>
      </c>
      <c r="I21" s="53" t="s">
        <v>48</v>
      </c>
      <c r="J21" s="54" t="s">
        <v>107</v>
      </c>
      <c r="K21" s="54"/>
      <c r="L21" s="54"/>
    </row>
    <row r="22">
      <c r="A22" s="53" t="s">
        <v>108</v>
      </c>
      <c r="B22" s="58" t="s">
        <v>109</v>
      </c>
      <c r="C22" s="58" t="s">
        <v>110</v>
      </c>
      <c r="D22" s="55" t="s">
        <v>111</v>
      </c>
      <c r="E22" s="43"/>
      <c r="F22" s="43"/>
      <c r="G22" s="56" t="s">
        <v>112</v>
      </c>
      <c r="H22" s="57">
        <v>46109.0</v>
      </c>
      <c r="I22" s="53" t="s">
        <v>48</v>
      </c>
      <c r="J22" s="54" t="s">
        <v>113</v>
      </c>
      <c r="K22" s="54"/>
      <c r="L22" s="54"/>
    </row>
    <row r="23">
      <c r="A23" s="53" t="s">
        <v>114</v>
      </c>
      <c r="B23" s="54" t="s">
        <v>115</v>
      </c>
      <c r="C23" s="54" t="s">
        <v>116</v>
      </c>
      <c r="D23" s="55" t="s">
        <v>117</v>
      </c>
      <c r="E23" s="43"/>
      <c r="F23" s="43"/>
      <c r="G23" s="56" t="s">
        <v>118</v>
      </c>
      <c r="H23" s="57">
        <v>46109.0</v>
      </c>
      <c r="I23" s="53" t="s">
        <v>48</v>
      </c>
      <c r="J23" s="54" t="s">
        <v>119</v>
      </c>
      <c r="K23" s="54"/>
      <c r="L23" s="54"/>
    </row>
    <row r="24">
      <c r="A24" s="53" t="s">
        <v>120</v>
      </c>
      <c r="B24" s="54" t="s">
        <v>121</v>
      </c>
      <c r="C24" s="54" t="s">
        <v>122</v>
      </c>
      <c r="D24" s="60" t="s">
        <v>123</v>
      </c>
      <c r="E24" s="61"/>
      <c r="F24" s="61"/>
      <c r="G24" s="62" t="s">
        <v>124</v>
      </c>
      <c r="H24" s="57">
        <v>46109.0</v>
      </c>
      <c r="I24" s="54" t="s">
        <v>48</v>
      </c>
      <c r="J24" s="54" t="s">
        <v>125</v>
      </c>
      <c r="K24" s="54"/>
      <c r="L24" s="54"/>
    </row>
    <row r="25">
      <c r="A25" s="52" t="s">
        <v>126</v>
      </c>
      <c r="B25" s="11"/>
      <c r="C25" s="11"/>
      <c r="D25" s="11"/>
      <c r="E25" s="11"/>
      <c r="F25" s="11"/>
      <c r="G25" s="11"/>
      <c r="H25" s="11"/>
      <c r="I25" s="11"/>
      <c r="J25" s="11"/>
      <c r="K25" s="11"/>
      <c r="L25" s="12"/>
    </row>
    <row r="26">
      <c r="A26" s="53" t="s">
        <v>127</v>
      </c>
      <c r="B26" s="54" t="s">
        <v>128</v>
      </c>
      <c r="C26" s="54" t="s">
        <v>129</v>
      </c>
      <c r="D26" s="55" t="s">
        <v>130</v>
      </c>
      <c r="E26" s="43"/>
      <c r="F26" s="43"/>
      <c r="G26" s="56" t="s">
        <v>131</v>
      </c>
      <c r="H26" s="57">
        <v>46109.0</v>
      </c>
      <c r="I26" s="53" t="s">
        <v>48</v>
      </c>
      <c r="J26" s="54" t="s">
        <v>132</v>
      </c>
      <c r="K26" s="54"/>
      <c r="L26" s="54"/>
    </row>
  </sheetData>
  <mergeCells count="19">
    <mergeCell ref="B1:D2"/>
    <mergeCell ref="B3:D3"/>
    <mergeCell ref="B4:D4"/>
    <mergeCell ref="B5:D5"/>
    <mergeCell ref="A9:A10"/>
    <mergeCell ref="B9:B10"/>
    <mergeCell ref="C9:C10"/>
    <mergeCell ref="A12:L12"/>
    <mergeCell ref="A14:L14"/>
    <mergeCell ref="A20:L20"/>
    <mergeCell ref="A25:L25"/>
    <mergeCell ref="F11:L11"/>
    <mergeCell ref="D9:F10"/>
    <mergeCell ref="G9:G10"/>
    <mergeCell ref="H9:H10"/>
    <mergeCell ref="I9:I10"/>
    <mergeCell ref="J9:J10"/>
    <mergeCell ref="K9:K10"/>
    <mergeCell ref="L9:L10"/>
  </mergeCells>
  <hyperlinks>
    <hyperlink r:id="rId1" location="gid=0" ref="A3"/>
    <hyperlink r:id="rId2" ref="G13"/>
    <hyperlink r:id="rId3" ref="G15"/>
    <hyperlink r:id="rId4" ref="L15"/>
    <hyperlink r:id="rId5" ref="G16"/>
    <hyperlink r:id="rId6" ref="G17"/>
    <hyperlink r:id="rId7" ref="L17"/>
    <hyperlink r:id="rId8" ref="G18"/>
    <hyperlink r:id="rId9" ref="L18"/>
    <hyperlink r:id="rId10" ref="G19"/>
    <hyperlink r:id="rId11" ref="G21"/>
    <hyperlink r:id="rId12" ref="G22"/>
    <hyperlink r:id="rId13" ref="G23"/>
    <hyperlink r:id="rId14" ref="G24"/>
    <hyperlink r:id="rId15" ref="G26"/>
  </hyperlinks>
  <drawing r:id="rId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5"/>
    <col customWidth="1" min="2" max="2" width="42.25"/>
    <col customWidth="1" min="3" max="3" width="76.5"/>
    <col customWidth="1" min="6" max="6" width="46.0"/>
    <col customWidth="1" min="7" max="7" width="33.5"/>
    <col customWidth="1" min="10" max="10" width="30.63"/>
    <col customWidth="1" min="11" max="11" width="16.63"/>
    <col customWidth="1" min="12" max="12" width="24.0"/>
  </cols>
  <sheetData>
    <row r="1">
      <c r="A1" s="28" t="s">
        <v>0</v>
      </c>
      <c r="B1" s="29"/>
      <c r="E1" s="30"/>
      <c r="F1" s="30"/>
      <c r="G1" s="30"/>
      <c r="H1" s="30"/>
      <c r="I1" s="6"/>
      <c r="J1" s="30"/>
    </row>
    <row r="2">
      <c r="A2" s="30"/>
      <c r="B2" s="31"/>
      <c r="C2" s="31"/>
      <c r="D2" s="31"/>
      <c r="E2" s="30"/>
      <c r="F2" s="30"/>
      <c r="G2" s="30"/>
      <c r="H2" s="30"/>
      <c r="I2" s="6"/>
      <c r="J2" s="30"/>
    </row>
    <row r="3">
      <c r="A3" s="37" t="s">
        <v>133</v>
      </c>
      <c r="B3" s="33" t="s">
        <v>4</v>
      </c>
      <c r="C3" s="11"/>
      <c r="D3" s="12"/>
      <c r="E3" s="34"/>
      <c r="F3" s="34"/>
      <c r="G3" s="34"/>
      <c r="H3" s="35"/>
      <c r="I3" s="36"/>
      <c r="J3" s="36"/>
    </row>
    <row r="4">
      <c r="A4" s="37" t="s">
        <v>44</v>
      </c>
      <c r="B4" s="38" t="s">
        <v>134</v>
      </c>
      <c r="C4" s="11"/>
      <c r="D4" s="12"/>
      <c r="E4" s="34"/>
      <c r="F4" s="34"/>
      <c r="G4" s="34"/>
      <c r="H4" s="35"/>
      <c r="I4" s="36"/>
      <c r="J4" s="36"/>
    </row>
    <row r="5">
      <c r="A5" s="37" t="s">
        <v>46</v>
      </c>
      <c r="B5" s="33" t="s">
        <v>135</v>
      </c>
      <c r="C5" s="11"/>
      <c r="D5" s="12"/>
      <c r="E5" s="34"/>
      <c r="F5" s="34"/>
      <c r="G5" s="34"/>
      <c r="H5" s="35"/>
      <c r="I5" s="36"/>
      <c r="J5" s="36"/>
    </row>
    <row r="6">
      <c r="A6" s="39" t="s">
        <v>48</v>
      </c>
      <c r="B6" s="39">
        <v>8.0</v>
      </c>
      <c r="C6" s="40" t="s">
        <v>49</v>
      </c>
      <c r="D6" s="40"/>
      <c r="E6" s="35"/>
      <c r="F6" s="35"/>
      <c r="G6" s="35"/>
      <c r="H6" s="35"/>
      <c r="I6" s="36"/>
      <c r="J6" s="36"/>
    </row>
    <row r="7">
      <c r="A7" s="39" t="s">
        <v>50</v>
      </c>
      <c r="B7" s="39">
        <v>1.0</v>
      </c>
      <c r="C7" s="41" t="s">
        <v>51</v>
      </c>
      <c r="D7" s="40">
        <v>9.0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c r="K9" s="48" t="s">
        <v>60</v>
      </c>
      <c r="L9" s="48" t="s">
        <v>61</v>
      </c>
    </row>
    <row r="10">
      <c r="A10" s="49"/>
      <c r="B10" s="49"/>
      <c r="C10" s="49"/>
      <c r="D10" s="50"/>
      <c r="E10" s="31"/>
      <c r="F10" s="31"/>
      <c r="G10" s="49"/>
      <c r="H10" s="49"/>
      <c r="I10" s="49"/>
      <c r="J10" s="49"/>
      <c r="K10" s="49"/>
      <c r="L10" s="49"/>
    </row>
    <row r="11">
      <c r="A11" s="51"/>
      <c r="B11" s="43"/>
      <c r="C11" s="43"/>
      <c r="D11" s="43"/>
      <c r="E11" s="43"/>
      <c r="F11" s="43"/>
      <c r="G11" s="43"/>
      <c r="H11" s="43"/>
      <c r="I11" s="43"/>
      <c r="J11" s="43"/>
      <c r="K11" s="11"/>
      <c r="L11" s="12"/>
    </row>
    <row r="12">
      <c r="A12" s="52" t="s">
        <v>136</v>
      </c>
      <c r="B12" s="11"/>
      <c r="C12" s="11"/>
      <c r="D12" s="11"/>
      <c r="E12" s="11"/>
      <c r="F12" s="11"/>
      <c r="G12" s="11"/>
      <c r="H12" s="11"/>
      <c r="I12" s="11"/>
      <c r="J12" s="11"/>
      <c r="K12" s="11"/>
      <c r="L12" s="12"/>
    </row>
    <row r="13">
      <c r="A13" s="54" t="s">
        <v>137</v>
      </c>
      <c r="B13" s="54" t="s">
        <v>138</v>
      </c>
      <c r="C13" s="54" t="s">
        <v>139</v>
      </c>
      <c r="D13" s="63" t="s">
        <v>140</v>
      </c>
      <c r="E13" s="61"/>
      <c r="F13" s="61"/>
      <c r="G13" s="56" t="s">
        <v>141</v>
      </c>
      <c r="H13" s="57">
        <v>46116.0</v>
      </c>
      <c r="I13" s="53" t="s">
        <v>50</v>
      </c>
      <c r="J13" s="58" t="s">
        <v>142</v>
      </c>
      <c r="K13" s="58" t="s">
        <v>48</v>
      </c>
      <c r="L13" s="59" t="s">
        <v>143</v>
      </c>
    </row>
    <row r="14">
      <c r="A14" s="54" t="s">
        <v>144</v>
      </c>
      <c r="B14" s="54" t="s">
        <v>145</v>
      </c>
      <c r="C14" s="54" t="s">
        <v>146</v>
      </c>
      <c r="D14" s="60" t="s">
        <v>147</v>
      </c>
      <c r="E14" s="61"/>
      <c r="F14" s="61"/>
      <c r="G14" s="56" t="s">
        <v>148</v>
      </c>
      <c r="H14" s="57">
        <v>46116.0</v>
      </c>
      <c r="I14" s="53" t="s">
        <v>48</v>
      </c>
      <c r="J14" s="54" t="s">
        <v>147</v>
      </c>
      <c r="K14" s="54"/>
      <c r="L14" s="54"/>
    </row>
    <row r="15">
      <c r="A15" s="54" t="s">
        <v>149</v>
      </c>
      <c r="B15" s="54" t="s">
        <v>150</v>
      </c>
      <c r="C15" s="54" t="s">
        <v>151</v>
      </c>
      <c r="D15" s="60" t="s">
        <v>152</v>
      </c>
      <c r="E15" s="61"/>
      <c r="F15" s="61"/>
      <c r="G15" s="56" t="s">
        <v>153</v>
      </c>
      <c r="H15" s="57">
        <v>46116.0</v>
      </c>
      <c r="I15" s="53" t="s">
        <v>48</v>
      </c>
      <c r="J15" s="54" t="s">
        <v>154</v>
      </c>
      <c r="K15" s="54"/>
      <c r="L15" s="54"/>
    </row>
    <row r="16">
      <c r="A16" s="54" t="s">
        <v>155</v>
      </c>
      <c r="B16" s="54" t="s">
        <v>156</v>
      </c>
      <c r="C16" s="54" t="s">
        <v>157</v>
      </c>
      <c r="D16" s="60" t="s">
        <v>158</v>
      </c>
      <c r="E16" s="61"/>
      <c r="F16" s="61"/>
      <c r="G16" s="56" t="s">
        <v>159</v>
      </c>
      <c r="H16" s="57">
        <v>46116.0</v>
      </c>
      <c r="I16" s="53" t="s">
        <v>48</v>
      </c>
      <c r="J16" s="54" t="s">
        <v>160</v>
      </c>
      <c r="K16" s="54"/>
      <c r="L16" s="54"/>
    </row>
    <row r="17">
      <c r="A17" s="54" t="s">
        <v>161</v>
      </c>
      <c r="B17" s="54" t="s">
        <v>162</v>
      </c>
      <c r="C17" s="54" t="s">
        <v>163</v>
      </c>
      <c r="D17" s="60" t="s">
        <v>164</v>
      </c>
      <c r="E17" s="61"/>
      <c r="F17" s="61"/>
      <c r="G17" s="56" t="s">
        <v>165</v>
      </c>
      <c r="H17" s="57">
        <v>46116.0</v>
      </c>
      <c r="I17" s="53" t="s">
        <v>48</v>
      </c>
      <c r="J17" s="54" t="s">
        <v>166</v>
      </c>
      <c r="K17" s="54"/>
      <c r="L17" s="54"/>
    </row>
    <row r="18">
      <c r="A18" s="54" t="s">
        <v>167</v>
      </c>
      <c r="B18" s="54" t="s">
        <v>168</v>
      </c>
      <c r="C18" s="54" t="s">
        <v>169</v>
      </c>
      <c r="D18" s="60" t="s">
        <v>170</v>
      </c>
      <c r="E18" s="61"/>
      <c r="F18" s="61"/>
      <c r="G18" s="64" t="s">
        <v>171</v>
      </c>
      <c r="H18" s="57">
        <v>46116.0</v>
      </c>
      <c r="I18" s="53" t="s">
        <v>48</v>
      </c>
      <c r="J18" s="54" t="s">
        <v>172</v>
      </c>
      <c r="K18" s="54"/>
      <c r="L18" s="54"/>
    </row>
    <row r="19">
      <c r="A19" s="54" t="s">
        <v>173</v>
      </c>
      <c r="B19" s="54" t="s">
        <v>174</v>
      </c>
      <c r="C19" s="54" t="s">
        <v>175</v>
      </c>
      <c r="D19" s="60" t="s">
        <v>176</v>
      </c>
      <c r="E19" s="61"/>
      <c r="F19" s="61"/>
      <c r="G19" s="64" t="s">
        <v>177</v>
      </c>
      <c r="H19" s="57">
        <v>46116.0</v>
      </c>
      <c r="I19" s="53" t="s">
        <v>48</v>
      </c>
      <c r="J19" s="54" t="s">
        <v>178</v>
      </c>
      <c r="K19" s="54"/>
      <c r="L19" s="54"/>
    </row>
    <row r="20">
      <c r="A20" s="52" t="s">
        <v>179</v>
      </c>
      <c r="B20" s="11"/>
      <c r="C20" s="11"/>
      <c r="D20" s="11"/>
      <c r="E20" s="11"/>
      <c r="F20" s="11"/>
      <c r="G20" s="11"/>
      <c r="H20" s="11"/>
      <c r="I20" s="11"/>
      <c r="J20" s="11"/>
      <c r="K20" s="11"/>
      <c r="L20" s="12"/>
    </row>
    <row r="21">
      <c r="A21" s="58" t="s">
        <v>180</v>
      </c>
      <c r="B21" s="58" t="s">
        <v>181</v>
      </c>
      <c r="C21" s="54" t="s">
        <v>182</v>
      </c>
      <c r="D21" s="60" t="s">
        <v>183</v>
      </c>
      <c r="E21" s="61"/>
      <c r="F21" s="61"/>
      <c r="G21" s="56" t="s">
        <v>184</v>
      </c>
      <c r="H21" s="57">
        <v>46116.0</v>
      </c>
      <c r="I21" s="53" t="s">
        <v>48</v>
      </c>
      <c r="J21" s="54" t="s">
        <v>185</v>
      </c>
      <c r="K21" s="54"/>
      <c r="L21" s="54"/>
    </row>
    <row r="22">
      <c r="A22" s="58" t="s">
        <v>186</v>
      </c>
      <c r="B22" s="58" t="s">
        <v>187</v>
      </c>
      <c r="C22" s="54" t="s">
        <v>188</v>
      </c>
      <c r="D22" s="60" t="s">
        <v>189</v>
      </c>
      <c r="E22" s="61"/>
      <c r="F22" s="61"/>
      <c r="G22" s="65" t="s">
        <v>190</v>
      </c>
      <c r="H22" s="57">
        <v>46116.0</v>
      </c>
      <c r="I22" s="53" t="s">
        <v>48</v>
      </c>
      <c r="J22" s="54" t="s">
        <v>191</v>
      </c>
      <c r="K22" s="54"/>
      <c r="L22" s="54"/>
    </row>
  </sheetData>
  <mergeCells count="17">
    <mergeCell ref="B1:D2"/>
    <mergeCell ref="B3:D3"/>
    <mergeCell ref="B4:D4"/>
    <mergeCell ref="B5:D5"/>
    <mergeCell ref="A9:A10"/>
    <mergeCell ref="B9:B10"/>
    <mergeCell ref="C9:C10"/>
    <mergeCell ref="J11:L11"/>
    <mergeCell ref="A12:L12"/>
    <mergeCell ref="A20:L20"/>
    <mergeCell ref="D9:F10"/>
    <mergeCell ref="G9:G10"/>
    <mergeCell ref="H9:H10"/>
    <mergeCell ref="I9:I10"/>
    <mergeCell ref="J9:J10"/>
    <mergeCell ref="K9:K10"/>
    <mergeCell ref="L9:L10"/>
  </mergeCells>
  <hyperlinks>
    <hyperlink r:id="rId1" ref="G13"/>
    <hyperlink r:id="rId2" ref="L13"/>
    <hyperlink r:id="rId3" ref="G14"/>
    <hyperlink r:id="rId4" ref="G15"/>
    <hyperlink r:id="rId5" ref="G16"/>
    <hyperlink r:id="rId6" ref="G17"/>
    <hyperlink r:id="rId7" ref="G18"/>
    <hyperlink r:id="rId8" ref="G19"/>
    <hyperlink r:id="rId9" ref="G21"/>
    <hyperlink r:id="rId10" ref="G22"/>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1.5"/>
    <col customWidth="1" min="3" max="3" width="64.0"/>
    <col customWidth="1" min="6" max="6" width="43.63"/>
    <col customWidth="1" min="7" max="7" width="30.63"/>
    <col customWidth="1" min="10" max="10" width="53.75"/>
    <col customWidth="1" min="11" max="11" width="16.38"/>
    <col customWidth="1" min="12" max="12" width="45.25"/>
  </cols>
  <sheetData>
    <row r="1">
      <c r="A1" s="28" t="s">
        <v>0</v>
      </c>
      <c r="B1" s="29"/>
      <c r="E1" s="30"/>
      <c r="F1" s="30"/>
      <c r="G1" s="30"/>
      <c r="H1" s="30"/>
      <c r="I1" s="6"/>
      <c r="J1" s="30"/>
    </row>
    <row r="2">
      <c r="A2" s="30"/>
      <c r="B2" s="31"/>
      <c r="C2" s="31"/>
      <c r="D2" s="31"/>
      <c r="E2" s="30"/>
      <c r="F2" s="30"/>
      <c r="G2" s="30"/>
      <c r="H2" s="30"/>
      <c r="I2" s="6"/>
      <c r="J2" s="30"/>
    </row>
    <row r="3">
      <c r="A3" s="37" t="s">
        <v>133</v>
      </c>
      <c r="B3" s="33" t="s">
        <v>4</v>
      </c>
      <c r="C3" s="11"/>
      <c r="D3" s="12"/>
      <c r="E3" s="34"/>
      <c r="F3" s="34"/>
      <c r="G3" s="34"/>
      <c r="H3" s="35"/>
      <c r="I3" s="36"/>
      <c r="J3" s="36"/>
    </row>
    <row r="4">
      <c r="A4" s="37" t="s">
        <v>44</v>
      </c>
      <c r="B4" s="38" t="s">
        <v>192</v>
      </c>
      <c r="C4" s="11"/>
      <c r="D4" s="12"/>
      <c r="E4" s="34"/>
      <c r="F4" s="34"/>
      <c r="G4" s="34"/>
      <c r="H4" s="35"/>
      <c r="I4" s="36"/>
      <c r="J4" s="36"/>
    </row>
    <row r="5">
      <c r="A5" s="37" t="s">
        <v>46</v>
      </c>
      <c r="B5" s="33" t="s">
        <v>193</v>
      </c>
      <c r="C5" s="11"/>
      <c r="D5" s="12"/>
      <c r="E5" s="34"/>
      <c r="F5" s="34"/>
      <c r="G5" s="34"/>
      <c r="H5" s="35"/>
      <c r="I5" s="36"/>
      <c r="J5" s="36"/>
    </row>
    <row r="6">
      <c r="A6" s="39" t="s">
        <v>48</v>
      </c>
      <c r="B6" s="39">
        <v>5.0</v>
      </c>
      <c r="C6" s="40" t="s">
        <v>49</v>
      </c>
      <c r="D6" s="40">
        <v>0.0</v>
      </c>
      <c r="E6" s="35"/>
      <c r="F6" s="35"/>
      <c r="G6" s="35"/>
      <c r="H6" s="35"/>
      <c r="I6" s="36"/>
      <c r="J6" s="36"/>
    </row>
    <row r="7">
      <c r="A7" s="39" t="s">
        <v>50</v>
      </c>
      <c r="B7" s="39">
        <v>1.0</v>
      </c>
      <c r="C7" s="41" t="s">
        <v>51</v>
      </c>
      <c r="D7" s="40">
        <v>6.0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c r="K9" s="48" t="s">
        <v>60</v>
      </c>
      <c r="L9" s="48" t="s">
        <v>61</v>
      </c>
    </row>
    <row r="10">
      <c r="A10" s="49"/>
      <c r="B10" s="49"/>
      <c r="C10" s="49"/>
      <c r="D10" s="50"/>
      <c r="E10" s="31"/>
      <c r="F10" s="31"/>
      <c r="G10" s="49"/>
      <c r="H10" s="49"/>
      <c r="I10" s="49"/>
      <c r="J10" s="49"/>
      <c r="K10" s="49"/>
      <c r="L10" s="49"/>
    </row>
    <row r="11">
      <c r="A11" s="51"/>
      <c r="B11" s="43"/>
      <c r="C11" s="43"/>
      <c r="D11" s="43"/>
      <c r="E11" s="43"/>
      <c r="F11" s="43"/>
      <c r="G11" s="43"/>
      <c r="H11" s="43"/>
      <c r="I11" s="43"/>
      <c r="J11" s="11"/>
      <c r="K11" s="11"/>
      <c r="L11" s="11"/>
    </row>
    <row r="12">
      <c r="A12" s="52" t="s">
        <v>194</v>
      </c>
      <c r="B12" s="11"/>
      <c r="C12" s="11"/>
      <c r="D12" s="11"/>
      <c r="E12" s="11"/>
      <c r="F12" s="11"/>
      <c r="G12" s="11"/>
      <c r="H12" s="11"/>
      <c r="I12" s="11"/>
      <c r="J12" s="11"/>
      <c r="K12" s="11"/>
      <c r="L12" s="12"/>
    </row>
    <row r="13">
      <c r="A13" s="54" t="s">
        <v>195</v>
      </c>
      <c r="B13" s="54" t="s">
        <v>196</v>
      </c>
      <c r="C13" s="54" t="s">
        <v>197</v>
      </c>
      <c r="D13" s="60" t="s">
        <v>198</v>
      </c>
      <c r="E13" s="61"/>
      <c r="F13" s="61"/>
      <c r="G13" s="64" t="s">
        <v>199</v>
      </c>
      <c r="H13" s="57">
        <v>46116.0</v>
      </c>
      <c r="I13" s="53" t="s">
        <v>48</v>
      </c>
      <c r="J13" s="53" t="s">
        <v>200</v>
      </c>
      <c r="K13" s="53"/>
      <c r="L13" s="53"/>
    </row>
    <row r="14">
      <c r="A14" s="54" t="s">
        <v>201</v>
      </c>
      <c r="B14" s="54" t="s">
        <v>202</v>
      </c>
      <c r="C14" s="58" t="s">
        <v>203</v>
      </c>
      <c r="D14" s="60" t="s">
        <v>204</v>
      </c>
      <c r="E14" s="61"/>
      <c r="F14" s="61"/>
      <c r="G14" s="64" t="s">
        <v>205</v>
      </c>
      <c r="H14" s="57">
        <v>46116.0</v>
      </c>
      <c r="I14" s="53" t="s">
        <v>48</v>
      </c>
      <c r="J14" s="53" t="s">
        <v>206</v>
      </c>
      <c r="K14" s="53"/>
      <c r="L14" s="53"/>
    </row>
    <row r="15">
      <c r="A15" s="54" t="s">
        <v>207</v>
      </c>
      <c r="B15" s="54" t="s">
        <v>208</v>
      </c>
      <c r="C15" s="58" t="s">
        <v>209</v>
      </c>
      <c r="D15" s="60" t="s">
        <v>210</v>
      </c>
      <c r="E15" s="61"/>
      <c r="F15" s="61"/>
      <c r="G15" s="64" t="s">
        <v>211</v>
      </c>
      <c r="H15" s="57">
        <v>46116.0</v>
      </c>
      <c r="I15" s="53" t="s">
        <v>48</v>
      </c>
      <c r="J15" s="53" t="s">
        <v>212</v>
      </c>
      <c r="K15" s="53"/>
      <c r="L15" s="53"/>
    </row>
    <row r="16">
      <c r="A16" s="52" t="s">
        <v>213</v>
      </c>
      <c r="B16" s="11"/>
      <c r="C16" s="11"/>
      <c r="D16" s="11"/>
      <c r="E16" s="11"/>
      <c r="F16" s="11"/>
      <c r="G16" s="11"/>
      <c r="H16" s="11"/>
      <c r="I16" s="11"/>
      <c r="J16" s="11"/>
      <c r="K16" s="11"/>
      <c r="L16" s="12"/>
    </row>
    <row r="17">
      <c r="A17" s="54" t="s">
        <v>214</v>
      </c>
      <c r="B17" s="54" t="s">
        <v>215</v>
      </c>
      <c r="C17" s="54" t="s">
        <v>216</v>
      </c>
      <c r="D17" s="60" t="s">
        <v>217</v>
      </c>
      <c r="E17" s="61"/>
      <c r="F17" s="61"/>
      <c r="G17" s="64" t="s">
        <v>218</v>
      </c>
      <c r="H17" s="57">
        <v>46116.0</v>
      </c>
      <c r="I17" s="53" t="s">
        <v>48</v>
      </c>
      <c r="J17" s="53" t="s">
        <v>219</v>
      </c>
      <c r="K17" s="53"/>
      <c r="L17" s="53"/>
    </row>
    <row r="18">
      <c r="A18" s="54" t="s">
        <v>220</v>
      </c>
      <c r="B18" s="54" t="s">
        <v>221</v>
      </c>
      <c r="C18" s="54" t="s">
        <v>222</v>
      </c>
      <c r="D18" s="60" t="s">
        <v>223</v>
      </c>
      <c r="E18" s="61"/>
      <c r="F18" s="61"/>
      <c r="G18" s="64" t="s">
        <v>224</v>
      </c>
      <c r="H18" s="57">
        <v>46116.0</v>
      </c>
      <c r="I18" s="53" t="s">
        <v>50</v>
      </c>
      <c r="J18" s="53" t="s">
        <v>225</v>
      </c>
      <c r="K18" s="53" t="s">
        <v>48</v>
      </c>
      <c r="L18" s="64" t="s">
        <v>226</v>
      </c>
    </row>
    <row r="19">
      <c r="A19" s="54" t="s">
        <v>227</v>
      </c>
      <c r="B19" s="54" t="s">
        <v>228</v>
      </c>
      <c r="C19" s="58" t="s">
        <v>229</v>
      </c>
      <c r="D19" s="63" t="s">
        <v>230</v>
      </c>
      <c r="E19" s="61"/>
      <c r="F19" s="61"/>
      <c r="G19" s="64" t="s">
        <v>231</v>
      </c>
      <c r="H19" s="57">
        <v>46116.0</v>
      </c>
      <c r="I19" s="53" t="s">
        <v>48</v>
      </c>
      <c r="J19" s="53" t="s">
        <v>232</v>
      </c>
      <c r="K19" s="53"/>
      <c r="L19" s="53"/>
    </row>
  </sheetData>
  <mergeCells count="17">
    <mergeCell ref="B1:D2"/>
    <mergeCell ref="B3:D3"/>
    <mergeCell ref="B4:D4"/>
    <mergeCell ref="B5:D5"/>
    <mergeCell ref="A9:A10"/>
    <mergeCell ref="B9:B10"/>
    <mergeCell ref="C9:C10"/>
    <mergeCell ref="I11:L11"/>
    <mergeCell ref="A12:L12"/>
    <mergeCell ref="A16:L16"/>
    <mergeCell ref="D9:F10"/>
    <mergeCell ref="G9:G10"/>
    <mergeCell ref="H9:H10"/>
    <mergeCell ref="I9:I10"/>
    <mergeCell ref="J9:J10"/>
    <mergeCell ref="K9:K10"/>
    <mergeCell ref="L9:L10"/>
  </mergeCells>
  <hyperlinks>
    <hyperlink r:id="rId1" ref="G13"/>
    <hyperlink r:id="rId2" ref="G14"/>
    <hyperlink r:id="rId3" ref="G15"/>
    <hyperlink r:id="rId4" ref="G17"/>
    <hyperlink r:id="rId5" ref="G18"/>
    <hyperlink r:id="rId6" ref="L18"/>
    <hyperlink r:id="rId7" ref="G19"/>
  </hyperlinks>
  <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6.63"/>
    <col customWidth="1" min="3" max="3" width="98.13"/>
    <col customWidth="1" min="6" max="6" width="35.75"/>
    <col customWidth="1" min="7" max="7" width="16.88"/>
    <col customWidth="1" min="9" max="9" width="9.0"/>
    <col customWidth="1" min="10" max="10" width="67.25"/>
    <col customWidth="1" min="11" max="11" width="17.0"/>
    <col customWidth="1" min="12" max="12" width="45.63"/>
  </cols>
  <sheetData>
    <row r="1">
      <c r="A1" s="28" t="s">
        <v>0</v>
      </c>
      <c r="B1" s="29"/>
      <c r="E1" s="30"/>
      <c r="F1" s="30"/>
      <c r="G1" s="30"/>
      <c r="H1" s="30"/>
      <c r="I1" s="6"/>
      <c r="J1" s="30"/>
    </row>
    <row r="2">
      <c r="A2" s="30"/>
      <c r="B2" s="31"/>
      <c r="C2" s="31"/>
      <c r="D2" s="31"/>
      <c r="E2" s="30"/>
      <c r="F2" s="30"/>
      <c r="G2" s="30"/>
      <c r="H2" s="30"/>
      <c r="I2" s="6"/>
      <c r="J2" s="30"/>
    </row>
    <row r="3">
      <c r="A3" s="37" t="s">
        <v>133</v>
      </c>
      <c r="B3" s="33" t="s">
        <v>4</v>
      </c>
      <c r="C3" s="11"/>
      <c r="D3" s="12"/>
      <c r="E3" s="34"/>
      <c r="F3" s="34"/>
      <c r="G3" s="34"/>
      <c r="H3" s="35"/>
      <c r="I3" s="36"/>
      <c r="J3" s="36"/>
    </row>
    <row r="4">
      <c r="A4" s="37" t="s">
        <v>44</v>
      </c>
      <c r="B4" s="38" t="s">
        <v>233</v>
      </c>
      <c r="C4" s="11"/>
      <c r="D4" s="12"/>
      <c r="E4" s="34"/>
      <c r="F4" s="34"/>
      <c r="G4" s="34"/>
      <c r="H4" s="35"/>
      <c r="I4" s="36"/>
      <c r="J4" s="36"/>
    </row>
    <row r="5">
      <c r="A5" s="37" t="s">
        <v>46</v>
      </c>
      <c r="B5" s="33" t="s">
        <v>234</v>
      </c>
      <c r="C5" s="11"/>
      <c r="D5" s="12"/>
      <c r="E5" s="34"/>
      <c r="F5" s="34"/>
      <c r="G5" s="34"/>
      <c r="H5" s="35"/>
      <c r="I5" s="36"/>
      <c r="J5" s="36"/>
    </row>
    <row r="6">
      <c r="A6" s="39" t="s">
        <v>48</v>
      </c>
      <c r="B6" s="39">
        <v>4.0</v>
      </c>
      <c r="C6" s="40" t="s">
        <v>49</v>
      </c>
      <c r="D6" s="40">
        <v>0.0</v>
      </c>
      <c r="E6" s="35"/>
      <c r="F6" s="35"/>
      <c r="G6" s="35"/>
      <c r="H6" s="35"/>
      <c r="I6" s="36"/>
      <c r="J6" s="36"/>
    </row>
    <row r="7">
      <c r="A7" s="39" t="s">
        <v>50</v>
      </c>
      <c r="B7" s="39">
        <v>8.0</v>
      </c>
      <c r="C7" s="41" t="s">
        <v>51</v>
      </c>
      <c r="D7" s="40">
        <v>12.0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c r="K9" s="48" t="s">
        <v>60</v>
      </c>
      <c r="L9" s="48" t="s">
        <v>61</v>
      </c>
    </row>
    <row r="10">
      <c r="A10" s="49"/>
      <c r="B10" s="49"/>
      <c r="C10" s="49"/>
      <c r="D10" s="50"/>
      <c r="E10" s="31"/>
      <c r="F10" s="31"/>
      <c r="G10" s="49"/>
      <c r="H10" s="49"/>
      <c r="I10" s="49"/>
      <c r="J10" s="49"/>
      <c r="K10" s="49"/>
      <c r="L10" s="49"/>
    </row>
    <row r="11">
      <c r="A11" s="51"/>
      <c r="B11" s="43"/>
      <c r="C11" s="43"/>
      <c r="D11" s="43"/>
      <c r="E11" s="43"/>
      <c r="F11" s="43"/>
      <c r="G11" s="43"/>
      <c r="H11" s="43"/>
      <c r="I11" s="43"/>
      <c r="J11" s="66"/>
      <c r="K11" s="66"/>
      <c r="L11" s="66"/>
    </row>
    <row r="12">
      <c r="A12" s="52" t="s">
        <v>235</v>
      </c>
      <c r="B12" s="11"/>
      <c r="C12" s="11"/>
      <c r="D12" s="11"/>
      <c r="E12" s="11"/>
      <c r="F12" s="11"/>
      <c r="G12" s="11"/>
      <c r="H12" s="11"/>
      <c r="I12" s="11"/>
      <c r="J12" s="11"/>
      <c r="K12" s="11"/>
      <c r="L12" s="12"/>
    </row>
    <row r="13">
      <c r="A13" s="54" t="s">
        <v>236</v>
      </c>
      <c r="B13" s="54" t="s">
        <v>237</v>
      </c>
      <c r="C13" s="54" t="s">
        <v>238</v>
      </c>
      <c r="D13" s="60" t="s">
        <v>239</v>
      </c>
      <c r="E13" s="61"/>
      <c r="F13" s="61"/>
      <c r="G13" s="64" t="s">
        <v>240</v>
      </c>
      <c r="H13" s="57">
        <v>46109.0</v>
      </c>
      <c r="I13" s="53" t="s">
        <v>48</v>
      </c>
      <c r="J13" s="54" t="s">
        <v>239</v>
      </c>
      <c r="K13" s="54"/>
      <c r="L13" s="54"/>
    </row>
    <row r="14">
      <c r="A14" s="54" t="s">
        <v>241</v>
      </c>
      <c r="B14" s="54" t="s">
        <v>242</v>
      </c>
      <c r="C14" s="54" t="s">
        <v>243</v>
      </c>
      <c r="D14" s="60" t="s">
        <v>244</v>
      </c>
      <c r="E14" s="61"/>
      <c r="F14" s="61"/>
      <c r="G14" s="64" t="s">
        <v>245</v>
      </c>
      <c r="H14" s="57">
        <v>46109.0</v>
      </c>
      <c r="I14" s="53" t="s">
        <v>48</v>
      </c>
      <c r="J14" s="54" t="s">
        <v>246</v>
      </c>
      <c r="K14" s="54"/>
      <c r="L14" s="54"/>
    </row>
    <row r="15">
      <c r="A15" s="52" t="s">
        <v>247</v>
      </c>
      <c r="B15" s="11"/>
      <c r="C15" s="11"/>
      <c r="D15" s="11"/>
      <c r="E15" s="11"/>
      <c r="F15" s="11"/>
      <c r="G15" s="11"/>
      <c r="H15" s="11"/>
      <c r="I15" s="11"/>
      <c r="J15" s="11"/>
      <c r="K15" s="11"/>
      <c r="L15" s="12"/>
    </row>
    <row r="16">
      <c r="A16" s="54" t="s">
        <v>248</v>
      </c>
      <c r="B16" s="54" t="s">
        <v>249</v>
      </c>
      <c r="C16" s="54" t="s">
        <v>250</v>
      </c>
      <c r="D16" s="63" t="s">
        <v>251</v>
      </c>
      <c r="E16" s="61"/>
      <c r="F16" s="61"/>
      <c r="G16" s="67" t="s">
        <v>252</v>
      </c>
      <c r="H16" s="57">
        <v>46109.0</v>
      </c>
      <c r="I16" s="53" t="s">
        <v>50</v>
      </c>
      <c r="J16" s="53" t="s">
        <v>253</v>
      </c>
      <c r="K16" s="53" t="s">
        <v>48</v>
      </c>
      <c r="L16" s="64" t="s">
        <v>254</v>
      </c>
    </row>
    <row r="17">
      <c r="A17" s="54" t="s">
        <v>255</v>
      </c>
      <c r="B17" s="54" t="s">
        <v>256</v>
      </c>
      <c r="C17" s="54" t="s">
        <v>257</v>
      </c>
      <c r="D17" s="60" t="s">
        <v>258</v>
      </c>
      <c r="E17" s="61"/>
      <c r="F17" s="61"/>
      <c r="G17" s="64" t="s">
        <v>259</v>
      </c>
      <c r="H17" s="57">
        <v>46109.0</v>
      </c>
      <c r="I17" s="53" t="s">
        <v>48</v>
      </c>
      <c r="J17" s="53" t="s">
        <v>260</v>
      </c>
      <c r="K17" s="53"/>
      <c r="L17" s="53"/>
    </row>
    <row r="18">
      <c r="A18" s="54" t="s">
        <v>261</v>
      </c>
      <c r="B18" s="58" t="s">
        <v>262</v>
      </c>
      <c r="C18" s="58" t="s">
        <v>263</v>
      </c>
      <c r="D18" s="63" t="s">
        <v>264</v>
      </c>
      <c r="E18" s="61"/>
      <c r="F18" s="61"/>
      <c r="G18" s="64" t="s">
        <v>265</v>
      </c>
      <c r="H18" s="57">
        <v>46109.0</v>
      </c>
      <c r="I18" s="53" t="s">
        <v>50</v>
      </c>
      <c r="J18" s="53" t="s">
        <v>266</v>
      </c>
      <c r="K18" s="53" t="s">
        <v>48</v>
      </c>
      <c r="L18" s="64" t="s">
        <v>267</v>
      </c>
    </row>
    <row r="19">
      <c r="A19" s="52" t="s">
        <v>268</v>
      </c>
      <c r="B19" s="11"/>
      <c r="C19" s="11"/>
      <c r="D19" s="11"/>
      <c r="E19" s="11"/>
      <c r="F19" s="11"/>
      <c r="G19" s="11"/>
      <c r="H19" s="11"/>
      <c r="I19" s="11"/>
      <c r="J19" s="11"/>
      <c r="K19" s="11"/>
      <c r="L19" s="12"/>
    </row>
    <row r="20">
      <c r="A20" s="54" t="s">
        <v>269</v>
      </c>
      <c r="B20" s="54" t="s">
        <v>270</v>
      </c>
      <c r="C20" s="58" t="s">
        <v>270</v>
      </c>
      <c r="D20" s="60" t="s">
        <v>271</v>
      </c>
      <c r="E20" s="61"/>
      <c r="F20" s="61"/>
      <c r="G20" s="64" t="s">
        <v>272</v>
      </c>
      <c r="H20" s="57">
        <v>46109.0</v>
      </c>
      <c r="I20" s="53" t="s">
        <v>50</v>
      </c>
      <c r="J20" s="53" t="s">
        <v>273</v>
      </c>
      <c r="K20" s="53" t="s">
        <v>48</v>
      </c>
      <c r="L20" s="64" t="s">
        <v>274</v>
      </c>
    </row>
    <row r="21">
      <c r="A21" s="54" t="s">
        <v>275</v>
      </c>
      <c r="B21" s="58" t="s">
        <v>276</v>
      </c>
      <c r="C21" s="58" t="s">
        <v>277</v>
      </c>
      <c r="D21" s="60" t="s">
        <v>278</v>
      </c>
      <c r="E21" s="61"/>
      <c r="F21" s="61"/>
      <c r="G21" s="64" t="s">
        <v>279</v>
      </c>
      <c r="H21" s="57">
        <v>46109.0</v>
      </c>
      <c r="I21" s="53" t="s">
        <v>50</v>
      </c>
      <c r="J21" s="53" t="s">
        <v>280</v>
      </c>
      <c r="K21" s="53" t="s">
        <v>48</v>
      </c>
      <c r="L21" s="64" t="s">
        <v>281</v>
      </c>
    </row>
    <row r="22">
      <c r="A22" s="54" t="s">
        <v>282</v>
      </c>
      <c r="B22" s="54" t="s">
        <v>283</v>
      </c>
      <c r="C22" s="54" t="s">
        <v>284</v>
      </c>
      <c r="D22" s="63" t="s">
        <v>285</v>
      </c>
      <c r="E22" s="61"/>
      <c r="F22" s="61"/>
      <c r="G22" s="64" t="s">
        <v>286</v>
      </c>
      <c r="H22" s="57">
        <v>46109.0</v>
      </c>
      <c r="I22" s="53" t="s">
        <v>50</v>
      </c>
      <c r="J22" s="53" t="s">
        <v>287</v>
      </c>
      <c r="K22" s="53" t="s">
        <v>48</v>
      </c>
      <c r="L22" s="64" t="s">
        <v>288</v>
      </c>
    </row>
    <row r="23">
      <c r="A23" s="54" t="s">
        <v>289</v>
      </c>
      <c r="B23" s="54" t="s">
        <v>290</v>
      </c>
      <c r="C23" s="54" t="s">
        <v>291</v>
      </c>
      <c r="D23" s="63" t="s">
        <v>292</v>
      </c>
      <c r="E23" s="61"/>
      <c r="F23" s="61"/>
      <c r="G23" s="64" t="s">
        <v>293</v>
      </c>
      <c r="H23" s="57">
        <v>46109.0</v>
      </c>
      <c r="I23" s="53" t="s">
        <v>50</v>
      </c>
      <c r="J23" s="53" t="s">
        <v>294</v>
      </c>
      <c r="K23" s="53" t="s">
        <v>48</v>
      </c>
      <c r="L23" s="64" t="s">
        <v>295</v>
      </c>
    </row>
    <row r="24">
      <c r="A24" s="54" t="s">
        <v>296</v>
      </c>
      <c r="B24" s="54" t="s">
        <v>297</v>
      </c>
      <c r="C24" s="54" t="s">
        <v>298</v>
      </c>
      <c r="D24" s="63" t="s">
        <v>299</v>
      </c>
      <c r="E24" s="61"/>
      <c r="F24" s="61"/>
      <c r="G24" s="64" t="s">
        <v>300</v>
      </c>
      <c r="H24" s="57">
        <v>46109.0</v>
      </c>
      <c r="I24" s="53" t="s">
        <v>50</v>
      </c>
      <c r="J24" s="53" t="s">
        <v>301</v>
      </c>
      <c r="K24" s="53" t="s">
        <v>48</v>
      </c>
      <c r="L24" s="64" t="s">
        <v>302</v>
      </c>
    </row>
    <row r="25">
      <c r="A25" s="54" t="s">
        <v>303</v>
      </c>
      <c r="B25" s="54" t="s">
        <v>304</v>
      </c>
      <c r="C25" s="54" t="s">
        <v>305</v>
      </c>
      <c r="D25" s="63" t="s">
        <v>306</v>
      </c>
      <c r="E25" s="61"/>
      <c r="F25" s="61"/>
      <c r="G25" s="64" t="s">
        <v>307</v>
      </c>
      <c r="H25" s="57">
        <v>46109.0</v>
      </c>
      <c r="I25" s="53" t="s">
        <v>50</v>
      </c>
      <c r="J25" s="58" t="s">
        <v>308</v>
      </c>
      <c r="K25" s="58" t="s">
        <v>48</v>
      </c>
      <c r="L25" s="59" t="s">
        <v>309</v>
      </c>
    </row>
    <row r="26">
      <c r="A26" s="54" t="s">
        <v>310</v>
      </c>
      <c r="B26" s="54" t="s">
        <v>311</v>
      </c>
      <c r="C26" s="54" t="s">
        <v>312</v>
      </c>
      <c r="D26" s="60" t="s">
        <v>313</v>
      </c>
      <c r="E26" s="61"/>
      <c r="F26" s="61"/>
      <c r="G26" s="64" t="s">
        <v>314</v>
      </c>
      <c r="H26" s="57">
        <v>46109.0</v>
      </c>
      <c r="I26" s="53" t="s">
        <v>48</v>
      </c>
      <c r="J26" s="58" t="s">
        <v>315</v>
      </c>
      <c r="K26" s="58"/>
      <c r="L26" s="58"/>
    </row>
    <row r="29">
      <c r="A29" s="68" t="s">
        <v>316</v>
      </c>
    </row>
    <row r="31">
      <c r="A31" s="68" t="s">
        <v>317</v>
      </c>
    </row>
  </sheetData>
  <mergeCells count="17">
    <mergeCell ref="B1:D2"/>
    <mergeCell ref="B3:D3"/>
    <mergeCell ref="B4:D4"/>
    <mergeCell ref="B5:D5"/>
    <mergeCell ref="A9:A10"/>
    <mergeCell ref="B9:B10"/>
    <mergeCell ref="C9:C10"/>
    <mergeCell ref="A12:L12"/>
    <mergeCell ref="A15:L15"/>
    <mergeCell ref="A19:L19"/>
    <mergeCell ref="D9:F10"/>
    <mergeCell ref="G9:G10"/>
    <mergeCell ref="H9:H10"/>
    <mergeCell ref="I9:I10"/>
    <mergeCell ref="J9:J10"/>
    <mergeCell ref="K9:K10"/>
    <mergeCell ref="L9:L10"/>
  </mergeCells>
  <hyperlinks>
    <hyperlink r:id="rId1" ref="G13"/>
    <hyperlink r:id="rId2" ref="G14"/>
    <hyperlink r:id="rId3" ref="G16"/>
    <hyperlink r:id="rId4" ref="L16"/>
    <hyperlink r:id="rId5" ref="G17"/>
    <hyperlink r:id="rId6" ref="G18"/>
    <hyperlink r:id="rId7" ref="L18"/>
    <hyperlink r:id="rId8" ref="G20"/>
    <hyperlink r:id="rId9" ref="L20"/>
    <hyperlink r:id="rId10" ref="G21"/>
    <hyperlink r:id="rId11" ref="L21"/>
    <hyperlink r:id="rId12" ref="G22"/>
    <hyperlink r:id="rId13" ref="L22"/>
    <hyperlink r:id="rId14" ref="G23"/>
    <hyperlink r:id="rId15" ref="L23"/>
    <hyperlink r:id="rId16" ref="G24"/>
    <hyperlink r:id="rId17" ref="L24"/>
    <hyperlink r:id="rId18" ref="G25"/>
    <hyperlink r:id="rId19" ref="L25"/>
    <hyperlink r:id="rId20" ref="G26"/>
  </hyperlink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75"/>
    <col customWidth="1" min="2" max="2" width="58.5"/>
    <col customWidth="1" min="3" max="3" width="74.88"/>
    <col customWidth="1" min="6" max="6" width="44.38"/>
    <col customWidth="1" min="7" max="7" width="46.13"/>
    <col customWidth="1" min="10" max="10" width="72.38"/>
  </cols>
  <sheetData>
    <row r="1">
      <c r="A1" s="28" t="s">
        <v>0</v>
      </c>
      <c r="B1" s="29"/>
      <c r="E1" s="30"/>
      <c r="F1" s="30"/>
      <c r="G1" s="30"/>
      <c r="H1" s="30"/>
      <c r="I1" s="6"/>
      <c r="J1" s="30"/>
    </row>
    <row r="2">
      <c r="A2" s="30"/>
      <c r="B2" s="31"/>
      <c r="C2" s="31"/>
      <c r="D2" s="31"/>
      <c r="E2" s="30"/>
      <c r="F2" s="30"/>
      <c r="G2" s="30"/>
      <c r="H2" s="30"/>
      <c r="I2" s="6"/>
      <c r="J2" s="30"/>
    </row>
    <row r="3">
      <c r="A3" s="37" t="s">
        <v>133</v>
      </c>
      <c r="B3" s="33" t="s">
        <v>4</v>
      </c>
      <c r="C3" s="11"/>
      <c r="D3" s="12"/>
      <c r="E3" s="34"/>
      <c r="F3" s="34"/>
      <c r="G3" s="34"/>
      <c r="H3" s="35"/>
      <c r="I3" s="36"/>
      <c r="J3" s="36"/>
    </row>
    <row r="4">
      <c r="A4" s="37" t="s">
        <v>44</v>
      </c>
      <c r="B4" s="38" t="s">
        <v>36</v>
      </c>
      <c r="C4" s="11"/>
      <c r="D4" s="12"/>
      <c r="E4" s="34"/>
      <c r="F4" s="34"/>
      <c r="G4" s="34"/>
      <c r="H4" s="35"/>
      <c r="I4" s="36"/>
      <c r="J4" s="36"/>
    </row>
    <row r="5">
      <c r="A5" s="37" t="s">
        <v>46</v>
      </c>
      <c r="B5" s="33" t="s">
        <v>318</v>
      </c>
      <c r="C5" s="11"/>
      <c r="D5" s="12"/>
      <c r="E5" s="34"/>
      <c r="F5" s="34"/>
      <c r="G5" s="34"/>
      <c r="H5" s="35"/>
      <c r="I5" s="36"/>
      <c r="J5" s="36"/>
    </row>
    <row r="6">
      <c r="A6" s="39" t="s">
        <v>48</v>
      </c>
      <c r="B6" s="39">
        <v>7.0</v>
      </c>
      <c r="C6" s="40" t="s">
        <v>49</v>
      </c>
      <c r="D6" s="40">
        <v>0.0</v>
      </c>
      <c r="E6" s="35"/>
      <c r="F6" s="35"/>
      <c r="G6" s="35"/>
      <c r="H6" s="35"/>
      <c r="I6" s="36"/>
      <c r="J6" s="36"/>
    </row>
    <row r="7">
      <c r="A7" s="39" t="s">
        <v>50</v>
      </c>
      <c r="B7" s="39">
        <v>0.0</v>
      </c>
      <c r="C7" s="41" t="s">
        <v>51</v>
      </c>
      <c r="D7" s="40">
        <v>7.0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row>
    <row r="10">
      <c r="A10" s="49"/>
      <c r="B10" s="49"/>
      <c r="C10" s="49"/>
      <c r="D10" s="50"/>
      <c r="E10" s="31"/>
      <c r="F10" s="31"/>
      <c r="G10" s="49"/>
      <c r="H10" s="49"/>
      <c r="I10" s="49"/>
      <c r="J10" s="49"/>
    </row>
    <row r="11">
      <c r="A11" s="51"/>
      <c r="B11" s="43"/>
      <c r="C11" s="43"/>
      <c r="D11" s="43"/>
      <c r="E11" s="43"/>
      <c r="F11" s="43"/>
      <c r="G11" s="43"/>
      <c r="H11" s="43"/>
      <c r="I11" s="43"/>
      <c r="J11" s="66"/>
    </row>
    <row r="12">
      <c r="A12" s="52" t="s">
        <v>319</v>
      </c>
      <c r="B12" s="11"/>
      <c r="C12" s="11"/>
      <c r="D12" s="11"/>
      <c r="E12" s="11"/>
      <c r="F12" s="11"/>
      <c r="G12" s="11"/>
      <c r="H12" s="11"/>
      <c r="I12" s="11"/>
      <c r="J12" s="12"/>
    </row>
    <row r="13">
      <c r="A13" s="54" t="s">
        <v>320</v>
      </c>
      <c r="B13" s="54" t="s">
        <v>321</v>
      </c>
      <c r="C13" s="54" t="s">
        <v>322</v>
      </c>
      <c r="D13" s="60" t="s">
        <v>323</v>
      </c>
      <c r="E13" s="61"/>
      <c r="F13" s="61"/>
      <c r="G13" s="69" t="s">
        <v>324</v>
      </c>
      <c r="H13" s="57">
        <v>46116.0</v>
      </c>
      <c r="I13" s="53" t="s">
        <v>48</v>
      </c>
      <c r="J13" s="53" t="s">
        <v>325</v>
      </c>
    </row>
    <row r="14">
      <c r="A14" s="58" t="s">
        <v>326</v>
      </c>
      <c r="B14" s="54" t="s">
        <v>327</v>
      </c>
      <c r="C14" s="58" t="s">
        <v>328</v>
      </c>
      <c r="D14" s="60" t="s">
        <v>329</v>
      </c>
      <c r="E14" s="61"/>
      <c r="F14" s="61"/>
      <c r="G14" s="69" t="s">
        <v>330</v>
      </c>
      <c r="H14" s="57">
        <v>46116.0</v>
      </c>
      <c r="I14" s="54" t="s">
        <v>48</v>
      </c>
      <c r="J14" s="58" t="s">
        <v>331</v>
      </c>
    </row>
    <row r="15">
      <c r="A15" s="52" t="s">
        <v>332</v>
      </c>
      <c r="B15" s="11"/>
      <c r="C15" s="11"/>
      <c r="D15" s="11"/>
      <c r="E15" s="11"/>
      <c r="F15" s="11"/>
      <c r="G15" s="11"/>
      <c r="H15" s="11"/>
      <c r="I15" s="11"/>
      <c r="J15" s="12"/>
    </row>
    <row r="16">
      <c r="A16" s="58" t="s">
        <v>333</v>
      </c>
      <c r="B16" s="54" t="s">
        <v>334</v>
      </c>
      <c r="C16" s="58" t="s">
        <v>335</v>
      </c>
      <c r="D16" s="60" t="s">
        <v>336</v>
      </c>
      <c r="E16" s="61"/>
      <c r="F16" s="61"/>
      <c r="G16" s="69" t="s">
        <v>337</v>
      </c>
      <c r="H16" s="57">
        <v>46116.0</v>
      </c>
      <c r="I16" s="53" t="s">
        <v>48</v>
      </c>
      <c r="J16" s="53" t="s">
        <v>338</v>
      </c>
    </row>
    <row r="17">
      <c r="A17" s="58" t="s">
        <v>339</v>
      </c>
      <c r="B17" s="58" t="s">
        <v>340</v>
      </c>
      <c r="C17" s="58" t="s">
        <v>341</v>
      </c>
      <c r="D17" s="63" t="s">
        <v>342</v>
      </c>
      <c r="E17" s="61"/>
      <c r="F17" s="61"/>
      <c r="G17" s="69" t="s">
        <v>343</v>
      </c>
      <c r="H17" s="57">
        <v>46136.0</v>
      </c>
      <c r="I17" s="53" t="s">
        <v>48</v>
      </c>
      <c r="J17" s="53" t="s">
        <v>344</v>
      </c>
    </row>
    <row r="18">
      <c r="A18" s="52" t="s">
        <v>345</v>
      </c>
      <c r="B18" s="11"/>
      <c r="C18" s="11"/>
      <c r="D18" s="11"/>
      <c r="E18" s="11"/>
      <c r="F18" s="11"/>
      <c r="G18" s="11"/>
      <c r="H18" s="11"/>
      <c r="I18" s="11"/>
      <c r="J18" s="12"/>
    </row>
    <row r="19">
      <c r="A19" s="58" t="s">
        <v>346</v>
      </c>
      <c r="B19" s="58" t="s">
        <v>347</v>
      </c>
      <c r="C19" s="58" t="s">
        <v>348</v>
      </c>
      <c r="D19" s="63" t="s">
        <v>349</v>
      </c>
      <c r="E19" s="61"/>
      <c r="F19" s="61"/>
      <c r="G19" s="69" t="s">
        <v>350</v>
      </c>
      <c r="H19" s="57">
        <v>46136.0</v>
      </c>
      <c r="I19" s="54" t="s">
        <v>48</v>
      </c>
      <c r="J19" s="58" t="s">
        <v>351</v>
      </c>
    </row>
    <row r="20">
      <c r="A20" s="58" t="s">
        <v>352</v>
      </c>
      <c r="B20" s="54" t="s">
        <v>353</v>
      </c>
      <c r="C20" s="58" t="s">
        <v>354</v>
      </c>
      <c r="D20" s="60" t="s">
        <v>355</v>
      </c>
      <c r="E20" s="61"/>
      <c r="F20" s="61"/>
      <c r="G20" s="59" t="s">
        <v>356</v>
      </c>
      <c r="H20" s="57">
        <v>46136.0</v>
      </c>
      <c r="I20" s="54" t="s">
        <v>48</v>
      </c>
      <c r="J20" s="58" t="s">
        <v>357</v>
      </c>
    </row>
    <row r="21">
      <c r="A21" s="52" t="s">
        <v>358</v>
      </c>
      <c r="B21" s="11"/>
      <c r="C21" s="11"/>
      <c r="D21" s="11"/>
      <c r="E21" s="11"/>
      <c r="F21" s="11"/>
      <c r="G21" s="11"/>
      <c r="H21" s="11"/>
      <c r="I21" s="11"/>
      <c r="J21" s="12"/>
    </row>
    <row r="22">
      <c r="A22" s="58" t="s">
        <v>359</v>
      </c>
      <c r="B22" s="58" t="s">
        <v>360</v>
      </c>
      <c r="C22" s="58" t="s">
        <v>361</v>
      </c>
      <c r="D22" s="63" t="s">
        <v>362</v>
      </c>
      <c r="E22" s="61"/>
      <c r="F22" s="61"/>
      <c r="G22" s="69" t="s">
        <v>363</v>
      </c>
      <c r="H22" s="57">
        <v>46136.0</v>
      </c>
      <c r="I22" s="54" t="s">
        <v>48</v>
      </c>
      <c r="J22" s="58" t="s">
        <v>364</v>
      </c>
    </row>
  </sheetData>
  <mergeCells count="16">
    <mergeCell ref="B1:D2"/>
    <mergeCell ref="B3:D3"/>
    <mergeCell ref="B4:D4"/>
    <mergeCell ref="B5:D5"/>
    <mergeCell ref="A9:A10"/>
    <mergeCell ref="B9:B10"/>
    <mergeCell ref="C9:C10"/>
    <mergeCell ref="A18:J18"/>
    <mergeCell ref="A21:J21"/>
    <mergeCell ref="D9:F10"/>
    <mergeCell ref="G9:G10"/>
    <mergeCell ref="H9:H10"/>
    <mergeCell ref="I9:I10"/>
    <mergeCell ref="J9:J10"/>
    <mergeCell ref="A12:J12"/>
    <mergeCell ref="A15:J15"/>
  </mergeCells>
  <hyperlinks>
    <hyperlink r:id="rId1" ref="G13"/>
    <hyperlink r:id="rId2" ref="G14"/>
    <hyperlink r:id="rId3" ref="G16"/>
    <hyperlink r:id="rId4" ref="G17"/>
    <hyperlink r:id="rId5" ref="G19"/>
    <hyperlink r:id="rId6" ref="G20"/>
    <hyperlink r:id="rId7" ref="G22"/>
  </hyperlinks>
  <drawing r:id="rId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0"/>
    <col customWidth="1" min="3" max="3" width="45.75"/>
    <col customWidth="1" min="4" max="4" width="35.13"/>
    <col customWidth="1" min="7" max="7" width="47.5"/>
    <col customWidth="1" min="10" max="10" width="26.0"/>
  </cols>
  <sheetData>
    <row r="1">
      <c r="A1" s="70" t="s">
        <v>0</v>
      </c>
      <c r="B1" s="71"/>
      <c r="E1" s="71"/>
      <c r="F1" s="71"/>
      <c r="G1" s="71"/>
      <c r="H1" s="71"/>
      <c r="I1" s="71"/>
      <c r="J1" s="71"/>
      <c r="K1" s="72"/>
      <c r="L1" s="72"/>
      <c r="M1" s="72"/>
      <c r="N1" s="72"/>
      <c r="O1" s="72"/>
      <c r="P1" s="72"/>
      <c r="Q1" s="72"/>
      <c r="R1" s="72"/>
      <c r="S1" s="72"/>
      <c r="T1" s="72"/>
      <c r="U1" s="72"/>
      <c r="V1" s="72"/>
      <c r="W1" s="72"/>
      <c r="X1" s="72"/>
      <c r="Y1" s="72"/>
      <c r="Z1" s="72"/>
    </row>
    <row r="2">
      <c r="A2" s="71"/>
      <c r="B2" s="31"/>
      <c r="C2" s="31"/>
      <c r="D2" s="31"/>
      <c r="E2" s="71"/>
      <c r="F2" s="71"/>
      <c r="G2" s="71"/>
      <c r="H2" s="71"/>
      <c r="I2" s="71"/>
      <c r="J2" s="71"/>
      <c r="K2" s="72"/>
      <c r="L2" s="72"/>
      <c r="M2" s="72"/>
      <c r="N2" s="72"/>
      <c r="O2" s="72"/>
      <c r="P2" s="72"/>
      <c r="Q2" s="72"/>
      <c r="R2" s="72"/>
      <c r="S2" s="72"/>
      <c r="T2" s="72"/>
      <c r="U2" s="72"/>
      <c r="V2" s="72"/>
      <c r="W2" s="72"/>
      <c r="X2" s="72"/>
      <c r="Y2" s="72"/>
      <c r="Z2" s="72"/>
    </row>
    <row r="3">
      <c r="A3" s="73" t="s">
        <v>133</v>
      </c>
      <c r="B3" s="74" t="s">
        <v>4</v>
      </c>
      <c r="C3" s="11"/>
      <c r="D3" s="12"/>
      <c r="E3" s="71"/>
      <c r="F3" s="71"/>
      <c r="G3" s="71"/>
      <c r="H3" s="71"/>
      <c r="I3" s="72"/>
      <c r="J3" s="72"/>
      <c r="K3" s="72"/>
      <c r="L3" s="72"/>
      <c r="M3" s="72"/>
      <c r="N3" s="72"/>
      <c r="O3" s="72"/>
      <c r="P3" s="72"/>
      <c r="Q3" s="72"/>
      <c r="R3" s="72"/>
      <c r="S3" s="72"/>
      <c r="T3" s="72"/>
      <c r="U3" s="72"/>
      <c r="V3" s="72"/>
      <c r="W3" s="72"/>
      <c r="X3" s="72"/>
      <c r="Y3" s="72"/>
      <c r="Z3" s="72"/>
    </row>
    <row r="4">
      <c r="A4" s="73" t="s">
        <v>44</v>
      </c>
      <c r="B4" s="75" t="s">
        <v>28</v>
      </c>
      <c r="C4" s="11"/>
      <c r="D4" s="12"/>
      <c r="E4" s="71"/>
      <c r="F4" s="71"/>
      <c r="G4" s="71"/>
      <c r="H4" s="71"/>
      <c r="I4" s="72"/>
      <c r="J4" s="72"/>
      <c r="K4" s="72"/>
      <c r="L4" s="72"/>
      <c r="M4" s="72"/>
      <c r="N4" s="72"/>
      <c r="O4" s="72"/>
      <c r="P4" s="72"/>
      <c r="Q4" s="72"/>
      <c r="R4" s="72"/>
      <c r="S4" s="72"/>
      <c r="T4" s="72"/>
      <c r="U4" s="72"/>
      <c r="V4" s="72"/>
      <c r="W4" s="72"/>
      <c r="X4" s="72"/>
      <c r="Y4" s="72"/>
      <c r="Z4" s="72"/>
    </row>
    <row r="5">
      <c r="A5" s="73" t="s">
        <v>46</v>
      </c>
      <c r="B5" s="74" t="s">
        <v>365</v>
      </c>
      <c r="C5" s="11"/>
      <c r="D5" s="12"/>
      <c r="E5" s="71"/>
      <c r="F5" s="71"/>
      <c r="G5" s="71"/>
      <c r="H5" s="71"/>
      <c r="I5" s="72"/>
      <c r="J5" s="72"/>
      <c r="K5" s="72"/>
      <c r="L5" s="72"/>
      <c r="M5" s="72"/>
      <c r="N5" s="72"/>
      <c r="O5" s="72"/>
      <c r="P5" s="72"/>
      <c r="Q5" s="72"/>
      <c r="R5" s="72"/>
      <c r="S5" s="72"/>
      <c r="T5" s="72"/>
      <c r="U5" s="72"/>
      <c r="V5" s="72"/>
      <c r="W5" s="72"/>
      <c r="X5" s="72"/>
      <c r="Y5" s="72"/>
      <c r="Z5" s="72"/>
    </row>
    <row r="6">
      <c r="A6" s="76" t="s">
        <v>48</v>
      </c>
      <c r="B6" s="76">
        <v>9.0</v>
      </c>
      <c r="C6" s="77" t="s">
        <v>49</v>
      </c>
      <c r="D6" s="77">
        <v>0.0</v>
      </c>
      <c r="E6" s="71"/>
      <c r="F6" s="71"/>
      <c r="G6" s="71"/>
      <c r="H6" s="71"/>
      <c r="I6" s="72"/>
      <c r="J6" s="72"/>
      <c r="K6" s="72"/>
      <c r="L6" s="72"/>
      <c r="M6" s="72"/>
      <c r="N6" s="72"/>
      <c r="O6" s="72"/>
      <c r="P6" s="72"/>
      <c r="Q6" s="72"/>
      <c r="R6" s="72"/>
      <c r="S6" s="72"/>
      <c r="T6" s="72"/>
      <c r="U6" s="72"/>
      <c r="V6" s="72"/>
      <c r="W6" s="72"/>
      <c r="X6" s="72"/>
      <c r="Y6" s="72"/>
      <c r="Z6" s="72"/>
    </row>
    <row r="7">
      <c r="A7" s="76" t="s">
        <v>50</v>
      </c>
      <c r="B7" s="76">
        <v>0.0</v>
      </c>
      <c r="C7" s="78" t="s">
        <v>51</v>
      </c>
      <c r="D7" s="77">
        <v>9.0</v>
      </c>
      <c r="E7" s="71"/>
      <c r="F7" s="71"/>
      <c r="G7" s="71"/>
      <c r="H7" s="71"/>
      <c r="I7" s="72"/>
      <c r="J7" s="72"/>
      <c r="K7" s="72"/>
      <c r="L7" s="72"/>
      <c r="M7" s="72"/>
      <c r="N7" s="72"/>
      <c r="O7" s="72"/>
      <c r="P7" s="72"/>
      <c r="Q7" s="72"/>
      <c r="R7" s="72"/>
      <c r="S7" s="72"/>
      <c r="T7" s="72"/>
      <c r="U7" s="72"/>
      <c r="V7" s="72"/>
      <c r="W7" s="72"/>
      <c r="X7" s="72"/>
      <c r="Y7" s="72"/>
      <c r="Z7" s="72"/>
    </row>
    <row r="8">
      <c r="A8" s="79"/>
      <c r="B8" s="61"/>
      <c r="C8" s="61"/>
      <c r="D8" s="61"/>
      <c r="E8" s="71"/>
      <c r="F8" s="71"/>
      <c r="G8" s="71"/>
      <c r="H8" s="71"/>
      <c r="I8" s="80"/>
      <c r="J8" s="80"/>
      <c r="K8" s="72"/>
      <c r="L8" s="72"/>
      <c r="M8" s="72"/>
      <c r="N8" s="72"/>
      <c r="O8" s="72"/>
      <c r="P8" s="72"/>
      <c r="Q8" s="72"/>
      <c r="R8" s="72"/>
      <c r="S8" s="72"/>
      <c r="T8" s="72"/>
      <c r="U8" s="72"/>
      <c r="V8" s="72"/>
      <c r="W8" s="72"/>
      <c r="X8" s="72"/>
      <c r="Y8" s="72"/>
      <c r="Z8" s="72"/>
    </row>
    <row r="9">
      <c r="A9" s="81" t="s">
        <v>52</v>
      </c>
      <c r="B9" s="82" t="s">
        <v>53</v>
      </c>
      <c r="C9" s="81" t="s">
        <v>54</v>
      </c>
      <c r="D9" s="83" t="s">
        <v>55</v>
      </c>
      <c r="G9" s="81" t="s">
        <v>56</v>
      </c>
      <c r="H9" s="84" t="s">
        <v>57</v>
      </c>
      <c r="I9" s="84" t="s">
        <v>58</v>
      </c>
      <c r="J9" s="84" t="s">
        <v>59</v>
      </c>
      <c r="K9" s="72"/>
      <c r="L9" s="72"/>
      <c r="M9" s="72"/>
      <c r="N9" s="72"/>
      <c r="O9" s="72"/>
      <c r="P9" s="72"/>
      <c r="Q9" s="72"/>
      <c r="R9" s="72"/>
      <c r="S9" s="72"/>
      <c r="T9" s="72"/>
      <c r="U9" s="72"/>
      <c r="V9" s="72"/>
      <c r="W9" s="72"/>
      <c r="X9" s="72"/>
      <c r="Y9" s="72"/>
      <c r="Z9" s="72"/>
    </row>
    <row r="10">
      <c r="A10" s="49"/>
      <c r="B10" s="49"/>
      <c r="C10" s="49"/>
      <c r="D10" s="50"/>
      <c r="E10" s="31"/>
      <c r="F10" s="31"/>
      <c r="G10" s="49"/>
      <c r="H10" s="49"/>
      <c r="I10" s="49"/>
      <c r="J10" s="49"/>
      <c r="K10" s="72"/>
      <c r="L10" s="72"/>
      <c r="M10" s="72"/>
      <c r="N10" s="72"/>
      <c r="O10" s="72"/>
      <c r="P10" s="72"/>
      <c r="Q10" s="72"/>
      <c r="R10" s="72"/>
      <c r="S10" s="72"/>
      <c r="T10" s="72"/>
      <c r="U10" s="72"/>
      <c r="V10" s="72"/>
      <c r="W10" s="72"/>
      <c r="X10" s="72"/>
      <c r="Y10" s="72"/>
      <c r="Z10" s="72"/>
    </row>
    <row r="11">
      <c r="A11" s="85"/>
      <c r="B11" s="61"/>
      <c r="C11" s="61"/>
      <c r="D11" s="61"/>
      <c r="E11" s="61"/>
      <c r="F11" s="61"/>
      <c r="G11" s="61"/>
      <c r="H11" s="61"/>
      <c r="I11" s="61"/>
      <c r="J11" s="86"/>
      <c r="K11" s="72"/>
      <c r="L11" s="72"/>
      <c r="M11" s="72"/>
      <c r="N11" s="72"/>
      <c r="O11" s="72"/>
      <c r="P11" s="72"/>
      <c r="Q11" s="72"/>
      <c r="R11" s="72"/>
      <c r="S11" s="72"/>
      <c r="T11" s="72"/>
      <c r="U11" s="72"/>
      <c r="V11" s="72"/>
      <c r="W11" s="72"/>
      <c r="X11" s="72"/>
      <c r="Y11" s="72"/>
      <c r="Z11" s="72"/>
    </row>
    <row r="12">
      <c r="A12" s="87" t="s">
        <v>366</v>
      </c>
      <c r="B12" s="11"/>
      <c r="C12" s="11"/>
      <c r="D12" s="11"/>
      <c r="E12" s="11"/>
      <c r="F12" s="11"/>
      <c r="G12" s="11"/>
      <c r="H12" s="11"/>
      <c r="I12" s="11"/>
      <c r="J12" s="12"/>
      <c r="K12" s="72"/>
      <c r="L12" s="72"/>
      <c r="M12" s="72"/>
      <c r="N12" s="72"/>
      <c r="O12" s="72"/>
      <c r="P12" s="72"/>
      <c r="Q12" s="72"/>
      <c r="R12" s="72"/>
      <c r="S12" s="72"/>
      <c r="T12" s="72"/>
      <c r="U12" s="72"/>
      <c r="V12" s="72"/>
      <c r="W12" s="72"/>
      <c r="X12" s="72"/>
      <c r="Y12" s="72"/>
      <c r="Z12" s="72"/>
    </row>
    <row r="13">
      <c r="A13" s="88" t="s">
        <v>367</v>
      </c>
      <c r="B13" s="88" t="s">
        <v>368</v>
      </c>
      <c r="C13" s="89" t="s">
        <v>369</v>
      </c>
      <c r="D13" s="90" t="s">
        <v>370</v>
      </c>
      <c r="E13" s="61"/>
      <c r="F13" s="61"/>
      <c r="G13" s="59" t="s">
        <v>371</v>
      </c>
      <c r="H13" s="57">
        <v>46121.0</v>
      </c>
      <c r="I13" s="88" t="s">
        <v>48</v>
      </c>
      <c r="J13" s="88" t="s">
        <v>368</v>
      </c>
      <c r="K13" s="72"/>
      <c r="L13" s="72"/>
      <c r="M13" s="72"/>
      <c r="N13" s="72"/>
      <c r="O13" s="72"/>
      <c r="P13" s="72"/>
      <c r="Q13" s="72"/>
      <c r="R13" s="72"/>
      <c r="S13" s="72"/>
      <c r="T13" s="72"/>
      <c r="U13" s="72"/>
      <c r="V13" s="72"/>
      <c r="W13" s="72"/>
      <c r="X13" s="72"/>
      <c r="Y13" s="72"/>
      <c r="Z13" s="72"/>
    </row>
    <row r="14">
      <c r="A14" s="58" t="s">
        <v>372</v>
      </c>
      <c r="B14" s="88" t="s">
        <v>373</v>
      </c>
      <c r="C14" s="88" t="s">
        <v>374</v>
      </c>
      <c r="D14" s="90" t="s">
        <v>375</v>
      </c>
      <c r="E14" s="61"/>
      <c r="F14" s="61"/>
      <c r="G14" s="59" t="s">
        <v>376</v>
      </c>
      <c r="H14" s="57">
        <v>46121.0</v>
      </c>
      <c r="I14" s="88" t="s">
        <v>48</v>
      </c>
      <c r="J14" s="88" t="s">
        <v>377</v>
      </c>
      <c r="K14" s="72"/>
      <c r="L14" s="72"/>
      <c r="M14" s="72"/>
      <c r="N14" s="72"/>
      <c r="O14" s="72"/>
      <c r="P14" s="72"/>
      <c r="Q14" s="72"/>
      <c r="R14" s="72"/>
      <c r="S14" s="72"/>
      <c r="T14" s="72"/>
      <c r="U14" s="72"/>
      <c r="V14" s="72"/>
      <c r="W14" s="72"/>
      <c r="X14" s="72"/>
      <c r="Y14" s="72"/>
      <c r="Z14" s="72"/>
    </row>
    <row r="15">
      <c r="A15" s="87" t="s">
        <v>378</v>
      </c>
      <c r="B15" s="11"/>
      <c r="C15" s="11"/>
      <c r="D15" s="11"/>
      <c r="E15" s="11"/>
      <c r="F15" s="11"/>
      <c r="G15" s="11"/>
      <c r="H15" s="11"/>
      <c r="I15" s="11"/>
      <c r="J15" s="12"/>
      <c r="K15" s="72"/>
      <c r="L15" s="72"/>
      <c r="M15" s="72"/>
      <c r="N15" s="72"/>
      <c r="O15" s="72"/>
      <c r="P15" s="72"/>
      <c r="Q15" s="72"/>
      <c r="R15" s="72"/>
      <c r="S15" s="72"/>
      <c r="T15" s="72"/>
      <c r="U15" s="72"/>
      <c r="V15" s="72"/>
      <c r="W15" s="72"/>
      <c r="X15" s="72"/>
      <c r="Y15" s="72"/>
      <c r="Z15" s="72"/>
    </row>
    <row r="16">
      <c r="A16" s="58" t="s">
        <v>379</v>
      </c>
      <c r="B16" s="88" t="s">
        <v>380</v>
      </c>
      <c r="C16" s="88" t="s">
        <v>381</v>
      </c>
      <c r="D16" s="90" t="s">
        <v>382</v>
      </c>
      <c r="E16" s="61"/>
      <c r="F16" s="61"/>
      <c r="G16" s="59" t="s">
        <v>383</v>
      </c>
      <c r="H16" s="57">
        <v>46121.0</v>
      </c>
      <c r="I16" s="88" t="s">
        <v>48</v>
      </c>
      <c r="J16" s="88" t="s">
        <v>384</v>
      </c>
      <c r="K16" s="72"/>
      <c r="L16" s="72"/>
      <c r="M16" s="72"/>
      <c r="N16" s="72"/>
      <c r="O16" s="72"/>
      <c r="P16" s="72"/>
      <c r="Q16" s="72"/>
      <c r="R16" s="72"/>
      <c r="S16" s="72"/>
      <c r="T16" s="72"/>
      <c r="U16" s="72"/>
      <c r="V16" s="72"/>
      <c r="W16" s="72"/>
      <c r="X16" s="72"/>
      <c r="Y16" s="72"/>
      <c r="Z16" s="72"/>
    </row>
    <row r="17">
      <c r="A17" s="58" t="s">
        <v>385</v>
      </c>
      <c r="B17" s="88" t="s">
        <v>386</v>
      </c>
      <c r="C17" s="88" t="s">
        <v>387</v>
      </c>
      <c r="D17" s="90" t="s">
        <v>388</v>
      </c>
      <c r="E17" s="61"/>
      <c r="F17" s="61"/>
      <c r="G17" s="59" t="s">
        <v>383</v>
      </c>
      <c r="H17" s="57">
        <v>46121.0</v>
      </c>
      <c r="I17" s="88" t="s">
        <v>48</v>
      </c>
      <c r="J17" s="88" t="s">
        <v>389</v>
      </c>
      <c r="K17" s="72"/>
      <c r="L17" s="72"/>
      <c r="M17" s="72"/>
      <c r="N17" s="72"/>
      <c r="O17" s="72"/>
      <c r="P17" s="72"/>
      <c r="Q17" s="72"/>
      <c r="R17" s="72"/>
      <c r="S17" s="72"/>
      <c r="T17" s="72"/>
      <c r="U17" s="72"/>
      <c r="V17" s="72"/>
      <c r="W17" s="72"/>
      <c r="X17" s="72"/>
      <c r="Y17" s="72"/>
      <c r="Z17" s="72"/>
    </row>
    <row r="18">
      <c r="A18" s="58" t="s">
        <v>390</v>
      </c>
      <c r="B18" s="88" t="s">
        <v>391</v>
      </c>
      <c r="C18" s="88" t="s">
        <v>392</v>
      </c>
      <c r="D18" s="90" t="s">
        <v>393</v>
      </c>
      <c r="E18" s="61"/>
      <c r="F18" s="61"/>
      <c r="G18" s="59" t="s">
        <v>394</v>
      </c>
      <c r="H18" s="57">
        <v>46121.0</v>
      </c>
      <c r="I18" s="88" t="s">
        <v>48</v>
      </c>
      <c r="J18" s="88" t="s">
        <v>395</v>
      </c>
      <c r="K18" s="72"/>
      <c r="L18" s="72"/>
      <c r="M18" s="72"/>
      <c r="N18" s="72"/>
      <c r="O18" s="72"/>
      <c r="P18" s="72"/>
      <c r="Q18" s="72"/>
      <c r="R18" s="72"/>
      <c r="S18" s="72"/>
      <c r="T18" s="72"/>
      <c r="U18" s="72"/>
      <c r="V18" s="72"/>
      <c r="W18" s="72"/>
      <c r="X18" s="72"/>
      <c r="Y18" s="72"/>
      <c r="Z18" s="72"/>
    </row>
    <row r="19">
      <c r="A19" s="58" t="s">
        <v>396</v>
      </c>
      <c r="B19" s="88" t="s">
        <v>397</v>
      </c>
      <c r="C19" s="88" t="s">
        <v>398</v>
      </c>
      <c r="D19" s="90" t="s">
        <v>399</v>
      </c>
      <c r="E19" s="61"/>
      <c r="F19" s="61"/>
      <c r="G19" s="59" t="s">
        <v>400</v>
      </c>
      <c r="H19" s="57">
        <v>46121.0</v>
      </c>
      <c r="I19" s="88" t="s">
        <v>48</v>
      </c>
      <c r="J19" s="88" t="s">
        <v>401</v>
      </c>
      <c r="K19" s="72"/>
      <c r="L19" s="72"/>
      <c r="M19" s="72"/>
      <c r="N19" s="72"/>
      <c r="O19" s="72"/>
      <c r="P19" s="72"/>
      <c r="Q19" s="72"/>
      <c r="R19" s="72"/>
      <c r="S19" s="72"/>
      <c r="T19" s="72"/>
      <c r="U19" s="72"/>
      <c r="V19" s="72"/>
      <c r="W19" s="72"/>
      <c r="X19" s="72"/>
      <c r="Y19" s="72"/>
      <c r="Z19" s="72"/>
    </row>
    <row r="20">
      <c r="A20" s="58" t="s">
        <v>402</v>
      </c>
      <c r="B20" s="88" t="s">
        <v>403</v>
      </c>
      <c r="C20" s="88" t="s">
        <v>404</v>
      </c>
      <c r="D20" s="90" t="s">
        <v>405</v>
      </c>
      <c r="E20" s="61"/>
      <c r="F20" s="61"/>
      <c r="G20" s="59" t="s">
        <v>406</v>
      </c>
      <c r="H20" s="57">
        <v>46121.0</v>
      </c>
      <c r="I20" s="88" t="s">
        <v>48</v>
      </c>
      <c r="J20" s="88" t="s">
        <v>407</v>
      </c>
      <c r="K20" s="72"/>
      <c r="L20" s="72"/>
      <c r="M20" s="72"/>
      <c r="N20" s="72"/>
      <c r="O20" s="72"/>
      <c r="P20" s="72"/>
      <c r="Q20" s="72"/>
      <c r="R20" s="72"/>
      <c r="S20" s="72"/>
      <c r="T20" s="72"/>
      <c r="U20" s="72"/>
      <c r="V20" s="72"/>
      <c r="W20" s="72"/>
      <c r="X20" s="72"/>
      <c r="Y20" s="72"/>
      <c r="Z20" s="72"/>
    </row>
    <row r="21">
      <c r="A21" s="87" t="s">
        <v>408</v>
      </c>
      <c r="B21" s="11"/>
      <c r="C21" s="11"/>
      <c r="D21" s="11"/>
      <c r="E21" s="11"/>
      <c r="F21" s="11"/>
      <c r="G21" s="11"/>
      <c r="H21" s="11"/>
      <c r="I21" s="11"/>
      <c r="J21" s="12"/>
    </row>
    <row r="22">
      <c r="A22" s="88" t="s">
        <v>409</v>
      </c>
      <c r="B22" s="88" t="s">
        <v>410</v>
      </c>
      <c r="C22" s="88" t="s">
        <v>411</v>
      </c>
      <c r="D22" s="90" t="s">
        <v>412</v>
      </c>
      <c r="E22" s="61"/>
      <c r="F22" s="61"/>
      <c r="G22" s="59" t="s">
        <v>413</v>
      </c>
      <c r="H22" s="57">
        <v>46121.0</v>
      </c>
      <c r="I22" s="88" t="s">
        <v>48</v>
      </c>
      <c r="J22" s="88" t="s">
        <v>414</v>
      </c>
      <c r="K22" s="72"/>
      <c r="L22" s="72"/>
      <c r="M22" s="72"/>
      <c r="N22" s="72"/>
      <c r="O22" s="72"/>
      <c r="P22" s="72"/>
      <c r="Q22" s="72"/>
      <c r="R22" s="72"/>
      <c r="S22" s="72"/>
      <c r="T22" s="72"/>
      <c r="U22" s="72"/>
      <c r="V22" s="72"/>
      <c r="W22" s="72"/>
      <c r="X22" s="72"/>
      <c r="Y22" s="72"/>
      <c r="Z22" s="72"/>
    </row>
    <row r="23">
      <c r="A23" s="88" t="s">
        <v>415</v>
      </c>
      <c r="B23" s="88" t="s">
        <v>416</v>
      </c>
      <c r="C23" s="88" t="s">
        <v>417</v>
      </c>
      <c r="D23" s="90" t="s">
        <v>418</v>
      </c>
      <c r="E23" s="61"/>
      <c r="F23" s="61"/>
      <c r="G23" s="59" t="s">
        <v>419</v>
      </c>
      <c r="H23" s="57">
        <v>46121.0</v>
      </c>
      <c r="I23" s="88" t="s">
        <v>48</v>
      </c>
      <c r="J23" s="88" t="s">
        <v>420</v>
      </c>
      <c r="K23" s="72"/>
      <c r="L23" s="72"/>
      <c r="M23" s="72"/>
      <c r="N23" s="72"/>
      <c r="O23" s="72"/>
      <c r="P23" s="72"/>
      <c r="Q23" s="72"/>
      <c r="R23" s="72"/>
      <c r="S23" s="72"/>
      <c r="T23" s="72"/>
      <c r="U23" s="72"/>
      <c r="V23" s="72"/>
      <c r="W23" s="72"/>
      <c r="X23" s="72"/>
      <c r="Y23" s="72"/>
      <c r="Z23" s="72"/>
    </row>
    <row r="24">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row>
    <row r="25">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row>
    <row r="26">
      <c r="A26" s="91"/>
      <c r="B26" s="72"/>
      <c r="C26" s="72"/>
      <c r="D26" s="72"/>
      <c r="E26" s="72"/>
      <c r="F26" s="72"/>
      <c r="G26" s="72"/>
      <c r="H26" s="72"/>
      <c r="I26" s="72"/>
      <c r="J26" s="72"/>
      <c r="K26" s="72"/>
      <c r="L26" s="72"/>
      <c r="M26" s="72"/>
      <c r="N26" s="72"/>
      <c r="O26" s="72"/>
      <c r="P26" s="72"/>
      <c r="Q26" s="72"/>
      <c r="R26" s="72"/>
      <c r="S26" s="72"/>
      <c r="T26" s="72"/>
      <c r="U26" s="72"/>
      <c r="V26" s="72"/>
      <c r="W26" s="72"/>
      <c r="X26" s="72"/>
      <c r="Y26" s="72"/>
      <c r="Z26" s="72"/>
    </row>
    <row r="27">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row>
    <row r="28">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row>
    <row r="29">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row>
    <row r="31">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row>
    <row r="32">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row>
    <row r="33">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row>
    <row r="34">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row>
    <row r="35">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row>
    <row r="36">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sheetData>
  <mergeCells count="15">
    <mergeCell ref="D9:F10"/>
    <mergeCell ref="G9:G10"/>
    <mergeCell ref="H9:H10"/>
    <mergeCell ref="I9:I10"/>
    <mergeCell ref="J9:J10"/>
    <mergeCell ref="A12:J12"/>
    <mergeCell ref="A15:J15"/>
    <mergeCell ref="A21:J21"/>
    <mergeCell ref="B1:D2"/>
    <mergeCell ref="B3:D3"/>
    <mergeCell ref="B4:D4"/>
    <mergeCell ref="B5:D5"/>
    <mergeCell ref="A9:A10"/>
    <mergeCell ref="B9:B10"/>
    <mergeCell ref="C9:C10"/>
  </mergeCells>
  <hyperlinks>
    <hyperlink r:id="rId1" ref="G13"/>
    <hyperlink r:id="rId2" ref="G14"/>
    <hyperlink r:id="rId3" ref="G16"/>
    <hyperlink r:id="rId4" ref="G17"/>
    <hyperlink r:id="rId5" ref="G18"/>
    <hyperlink r:id="rId6" ref="G19"/>
    <hyperlink r:id="rId7" ref="G20"/>
    <hyperlink r:id="rId8" ref="G22"/>
    <hyperlink r:id="rId9" ref="G23"/>
  </hyperlinks>
  <drawing r:id="rId1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35.13"/>
    <col customWidth="1" min="3" max="3" width="60.13"/>
    <col customWidth="1" min="6" max="6" width="57.88"/>
    <col customWidth="1" min="7" max="7" width="18.13"/>
    <col customWidth="1" min="10" max="10" width="47.38"/>
    <col customWidth="1" min="11" max="11" width="16.5"/>
    <col customWidth="1" min="12" max="12" width="27.0"/>
  </cols>
  <sheetData>
    <row r="1">
      <c r="A1" s="28" t="s">
        <v>0</v>
      </c>
      <c r="B1" s="29"/>
      <c r="E1" s="30"/>
      <c r="F1" s="30"/>
      <c r="G1" s="30"/>
      <c r="H1" s="30"/>
      <c r="I1" s="6"/>
      <c r="J1" s="30"/>
    </row>
    <row r="2">
      <c r="A2" s="30"/>
      <c r="B2" s="31"/>
      <c r="C2" s="31"/>
      <c r="D2" s="31"/>
      <c r="E2" s="30"/>
      <c r="F2" s="30"/>
      <c r="G2" s="30"/>
      <c r="H2" s="30"/>
      <c r="I2" s="6"/>
      <c r="J2" s="30"/>
    </row>
    <row r="3">
      <c r="A3" s="37" t="s">
        <v>133</v>
      </c>
      <c r="B3" s="33" t="s">
        <v>4</v>
      </c>
      <c r="C3" s="11"/>
      <c r="D3" s="12"/>
      <c r="E3" s="34"/>
      <c r="F3" s="34"/>
      <c r="G3" s="34"/>
      <c r="H3" s="35"/>
      <c r="I3" s="36"/>
      <c r="J3" s="36"/>
    </row>
    <row r="4">
      <c r="A4" s="37" t="s">
        <v>44</v>
      </c>
      <c r="B4" s="38" t="s">
        <v>32</v>
      </c>
      <c r="C4" s="11"/>
      <c r="D4" s="12"/>
      <c r="E4" s="34"/>
      <c r="F4" s="34"/>
      <c r="G4" s="34"/>
      <c r="H4" s="35"/>
      <c r="I4" s="36"/>
      <c r="J4" s="36"/>
    </row>
    <row r="5">
      <c r="A5" s="37" t="s">
        <v>46</v>
      </c>
      <c r="B5" s="33" t="s">
        <v>421</v>
      </c>
      <c r="C5" s="11"/>
      <c r="D5" s="12"/>
      <c r="E5" s="34"/>
      <c r="F5" s="34"/>
      <c r="G5" s="34"/>
      <c r="H5" s="35"/>
      <c r="I5" s="36"/>
      <c r="J5" s="36"/>
    </row>
    <row r="6">
      <c r="A6" s="39" t="s">
        <v>48</v>
      </c>
      <c r="B6" s="39">
        <v>10.0</v>
      </c>
      <c r="C6" s="40" t="s">
        <v>49</v>
      </c>
      <c r="D6" s="40">
        <v>0.0</v>
      </c>
      <c r="E6" s="35"/>
      <c r="F6" s="35"/>
      <c r="G6" s="35"/>
      <c r="H6" s="35"/>
      <c r="I6" s="36"/>
      <c r="J6" s="36"/>
    </row>
    <row r="7">
      <c r="A7" s="39" t="s">
        <v>50</v>
      </c>
      <c r="B7" s="39">
        <v>5.0</v>
      </c>
      <c r="C7" s="41" t="s">
        <v>51</v>
      </c>
      <c r="D7" s="40">
        <v>15.0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c r="K9" s="48" t="s">
        <v>60</v>
      </c>
      <c r="L9" s="48" t="s">
        <v>61</v>
      </c>
    </row>
    <row r="10">
      <c r="A10" s="49"/>
      <c r="B10" s="49"/>
      <c r="C10" s="49"/>
      <c r="D10" s="50"/>
      <c r="E10" s="31"/>
      <c r="F10" s="31"/>
      <c r="G10" s="49"/>
      <c r="H10" s="49"/>
      <c r="I10" s="49"/>
      <c r="J10" s="49"/>
      <c r="K10" s="49"/>
      <c r="L10" s="49"/>
    </row>
    <row r="11">
      <c r="A11" s="51"/>
      <c r="B11" s="43"/>
      <c r="C11" s="43"/>
      <c r="D11" s="43"/>
      <c r="E11" s="43"/>
      <c r="F11" s="43"/>
      <c r="G11" s="43"/>
      <c r="H11" s="43"/>
      <c r="I11" s="43"/>
      <c r="J11" s="43"/>
      <c r="K11" s="11"/>
      <c r="L11" s="12"/>
    </row>
    <row r="12">
      <c r="A12" s="52" t="s">
        <v>422</v>
      </c>
      <c r="B12" s="11"/>
      <c r="C12" s="11"/>
      <c r="D12" s="11"/>
      <c r="E12" s="11"/>
      <c r="F12" s="11"/>
      <c r="G12" s="11"/>
      <c r="H12" s="11"/>
      <c r="I12" s="11"/>
      <c r="J12" s="11"/>
      <c r="K12" s="11"/>
      <c r="L12" s="12"/>
    </row>
    <row r="13">
      <c r="A13" s="53" t="s">
        <v>423</v>
      </c>
      <c r="B13" s="92" t="s">
        <v>424</v>
      </c>
      <c r="C13" s="53" t="s">
        <v>425</v>
      </c>
      <c r="D13" s="55" t="s">
        <v>426</v>
      </c>
      <c r="E13" s="43"/>
      <c r="F13" s="43"/>
      <c r="G13" s="64" t="s">
        <v>427</v>
      </c>
      <c r="H13" s="57">
        <v>46134.0</v>
      </c>
      <c r="I13" s="53" t="s">
        <v>48</v>
      </c>
      <c r="J13" s="53" t="s">
        <v>428</v>
      </c>
      <c r="K13" s="53"/>
      <c r="L13" s="53"/>
    </row>
    <row r="14">
      <c r="A14" s="53" t="s">
        <v>429</v>
      </c>
      <c r="B14" s="92" t="s">
        <v>430</v>
      </c>
      <c r="C14" s="53" t="s">
        <v>431</v>
      </c>
      <c r="D14" s="55" t="s">
        <v>432</v>
      </c>
      <c r="E14" s="43"/>
      <c r="F14" s="43"/>
      <c r="G14" s="64" t="s">
        <v>433</v>
      </c>
      <c r="H14" s="57">
        <v>46134.0</v>
      </c>
      <c r="I14" s="53" t="s">
        <v>48</v>
      </c>
      <c r="J14" s="53" t="s">
        <v>434</v>
      </c>
      <c r="K14" s="53"/>
      <c r="L14" s="53"/>
    </row>
    <row r="15">
      <c r="A15" s="53" t="s">
        <v>435</v>
      </c>
      <c r="B15" s="92" t="s">
        <v>436</v>
      </c>
      <c r="C15" s="53" t="s">
        <v>437</v>
      </c>
      <c r="D15" s="68" t="s">
        <v>438</v>
      </c>
      <c r="E15" s="43"/>
      <c r="F15" s="43"/>
      <c r="G15" s="64" t="s">
        <v>439</v>
      </c>
      <c r="H15" s="57">
        <v>46134.0</v>
      </c>
      <c r="I15" s="53" t="s">
        <v>50</v>
      </c>
      <c r="J15" s="53" t="s">
        <v>440</v>
      </c>
      <c r="K15" s="53" t="s">
        <v>48</v>
      </c>
      <c r="L15" s="64" t="s">
        <v>441</v>
      </c>
    </row>
    <row r="16">
      <c r="A16" s="53" t="s">
        <v>442</v>
      </c>
      <c r="B16" s="92" t="s">
        <v>443</v>
      </c>
      <c r="C16" s="53" t="s">
        <v>444</v>
      </c>
      <c r="D16" s="68" t="s">
        <v>445</v>
      </c>
      <c r="E16" s="43"/>
      <c r="F16" s="43"/>
      <c r="G16" s="64" t="s">
        <v>446</v>
      </c>
      <c r="H16" s="57">
        <v>46134.0</v>
      </c>
      <c r="I16" s="53" t="s">
        <v>50</v>
      </c>
      <c r="J16" s="53" t="s">
        <v>447</v>
      </c>
      <c r="K16" s="53" t="s">
        <v>48</v>
      </c>
      <c r="L16" s="64" t="s">
        <v>448</v>
      </c>
    </row>
    <row r="17">
      <c r="A17" s="53" t="s">
        <v>449</v>
      </c>
      <c r="B17" s="92" t="s">
        <v>450</v>
      </c>
      <c r="C17" s="53" t="s">
        <v>451</v>
      </c>
      <c r="D17" s="55" t="s">
        <v>452</v>
      </c>
      <c r="E17" s="43"/>
      <c r="F17" s="43"/>
      <c r="G17" s="64" t="s">
        <v>453</v>
      </c>
      <c r="H17" s="57">
        <v>46134.0</v>
      </c>
      <c r="I17" s="53" t="s">
        <v>48</v>
      </c>
      <c r="J17" s="53" t="s">
        <v>454</v>
      </c>
      <c r="K17" s="53"/>
      <c r="L17" s="53"/>
    </row>
    <row r="18">
      <c r="A18" s="53" t="s">
        <v>455</v>
      </c>
      <c r="B18" s="92" t="s">
        <v>456</v>
      </c>
      <c r="C18" s="53" t="s">
        <v>457</v>
      </c>
      <c r="D18" s="55" t="s">
        <v>458</v>
      </c>
      <c r="E18" s="43"/>
      <c r="F18" s="43"/>
      <c r="G18" s="64" t="s">
        <v>459</v>
      </c>
      <c r="H18" s="57">
        <v>46134.0</v>
      </c>
      <c r="I18" s="53" t="s">
        <v>48</v>
      </c>
      <c r="J18" s="53" t="s">
        <v>460</v>
      </c>
      <c r="K18" s="53"/>
      <c r="L18" s="53"/>
    </row>
    <row r="19">
      <c r="A19" s="53" t="s">
        <v>461</v>
      </c>
      <c r="B19" s="92" t="s">
        <v>462</v>
      </c>
      <c r="C19" s="53" t="s">
        <v>463</v>
      </c>
      <c r="D19" s="55" t="s">
        <v>464</v>
      </c>
      <c r="E19" s="43"/>
      <c r="F19" s="43"/>
      <c r="G19" s="64" t="s">
        <v>465</v>
      </c>
      <c r="H19" s="57">
        <v>46134.0</v>
      </c>
      <c r="I19" s="53" t="s">
        <v>50</v>
      </c>
      <c r="J19" s="53" t="s">
        <v>466</v>
      </c>
      <c r="K19" s="53" t="s">
        <v>48</v>
      </c>
      <c r="L19" s="64" t="s">
        <v>467</v>
      </c>
    </row>
    <row r="20">
      <c r="A20" s="53" t="s">
        <v>468</v>
      </c>
      <c r="B20" s="92" t="s">
        <v>469</v>
      </c>
      <c r="C20" s="53" t="s">
        <v>470</v>
      </c>
      <c r="D20" s="55" t="s">
        <v>471</v>
      </c>
      <c r="E20" s="43"/>
      <c r="F20" s="43"/>
      <c r="G20" s="64" t="s">
        <v>472</v>
      </c>
      <c r="H20" s="57">
        <v>46134.0</v>
      </c>
      <c r="I20" s="53" t="s">
        <v>50</v>
      </c>
      <c r="J20" s="53" t="s">
        <v>473</v>
      </c>
      <c r="K20" s="53" t="s">
        <v>48</v>
      </c>
      <c r="L20" s="64" t="s">
        <v>474</v>
      </c>
    </row>
    <row r="21">
      <c r="A21" s="52" t="s">
        <v>475</v>
      </c>
      <c r="B21" s="11"/>
      <c r="C21" s="11"/>
      <c r="D21" s="11"/>
      <c r="E21" s="11"/>
      <c r="F21" s="11"/>
      <c r="G21" s="11"/>
      <c r="H21" s="11"/>
      <c r="I21" s="11"/>
      <c r="J21" s="11"/>
      <c r="K21" s="11"/>
      <c r="L21" s="12"/>
    </row>
    <row r="22">
      <c r="A22" s="54" t="s">
        <v>476</v>
      </c>
      <c r="B22" s="54" t="s">
        <v>477</v>
      </c>
      <c r="C22" s="54" t="s">
        <v>478</v>
      </c>
      <c r="D22" s="60" t="s">
        <v>479</v>
      </c>
      <c r="E22" s="61"/>
      <c r="F22" s="61"/>
      <c r="G22" s="59" t="s">
        <v>480</v>
      </c>
      <c r="H22" s="57">
        <v>46151.0</v>
      </c>
      <c r="I22" s="54" t="s">
        <v>48</v>
      </c>
      <c r="J22" s="58" t="s">
        <v>481</v>
      </c>
      <c r="K22" s="54"/>
      <c r="L22" s="54"/>
    </row>
    <row r="23">
      <c r="A23" s="54" t="s">
        <v>482</v>
      </c>
      <c r="B23" s="54" t="s">
        <v>483</v>
      </c>
      <c r="C23" s="54" t="s">
        <v>484</v>
      </c>
      <c r="D23" s="60" t="s">
        <v>479</v>
      </c>
      <c r="E23" s="61"/>
      <c r="F23" s="61"/>
      <c r="G23" s="59" t="s">
        <v>485</v>
      </c>
      <c r="H23" s="57">
        <v>46151.0</v>
      </c>
      <c r="I23" s="54" t="s">
        <v>48</v>
      </c>
      <c r="J23" s="58" t="s">
        <v>486</v>
      </c>
      <c r="K23" s="54"/>
      <c r="L23" s="54"/>
    </row>
    <row r="24">
      <c r="A24" s="88" t="s">
        <v>487</v>
      </c>
      <c r="B24" s="88" t="s">
        <v>488</v>
      </c>
      <c r="C24" s="88" t="s">
        <v>489</v>
      </c>
      <c r="D24" s="90" t="s">
        <v>490</v>
      </c>
      <c r="E24" s="61"/>
      <c r="F24" s="61"/>
      <c r="G24" s="59" t="s">
        <v>491</v>
      </c>
      <c r="H24" s="57">
        <v>46151.0</v>
      </c>
      <c r="I24" s="88" t="s">
        <v>48</v>
      </c>
      <c r="J24" s="58" t="s">
        <v>492</v>
      </c>
      <c r="K24" s="88"/>
      <c r="L24" s="88"/>
    </row>
    <row r="25">
      <c r="A25" s="88" t="s">
        <v>493</v>
      </c>
      <c r="B25" s="88" t="s">
        <v>494</v>
      </c>
      <c r="C25" s="88" t="s">
        <v>494</v>
      </c>
      <c r="D25" s="90" t="s">
        <v>490</v>
      </c>
      <c r="E25" s="61"/>
      <c r="F25" s="61"/>
      <c r="G25" s="59" t="s">
        <v>495</v>
      </c>
      <c r="H25" s="57">
        <v>46151.0</v>
      </c>
      <c r="I25" s="88" t="s">
        <v>48</v>
      </c>
      <c r="J25" s="58" t="s">
        <v>496</v>
      </c>
      <c r="K25" s="88"/>
      <c r="L25" s="88"/>
    </row>
    <row r="26">
      <c r="A26" s="88" t="s">
        <v>497</v>
      </c>
      <c r="B26" s="88" t="s">
        <v>498</v>
      </c>
      <c r="C26" s="88" t="s">
        <v>499</v>
      </c>
      <c r="D26" s="90" t="s">
        <v>500</v>
      </c>
      <c r="E26" s="61"/>
      <c r="F26" s="61"/>
      <c r="G26" s="59" t="s">
        <v>501</v>
      </c>
      <c r="H26" s="57">
        <v>46151.0</v>
      </c>
      <c r="I26" s="88" t="s">
        <v>48</v>
      </c>
      <c r="J26" s="58" t="s">
        <v>502</v>
      </c>
      <c r="K26" s="88"/>
      <c r="L26" s="88"/>
    </row>
    <row r="27">
      <c r="A27" s="88" t="s">
        <v>503</v>
      </c>
      <c r="B27" s="88" t="s">
        <v>504</v>
      </c>
      <c r="C27" s="88" t="s">
        <v>505</v>
      </c>
      <c r="D27" s="90" t="s">
        <v>506</v>
      </c>
      <c r="E27" s="61"/>
      <c r="F27" s="61"/>
      <c r="G27" s="59" t="s">
        <v>507</v>
      </c>
      <c r="H27" s="57">
        <v>46151.0</v>
      </c>
      <c r="I27" s="88" t="s">
        <v>48</v>
      </c>
      <c r="J27" s="58" t="s">
        <v>508</v>
      </c>
      <c r="K27" s="88"/>
      <c r="L27" s="88"/>
    </row>
    <row r="28">
      <c r="A28" s="88" t="s">
        <v>509</v>
      </c>
      <c r="B28" s="88" t="s">
        <v>510</v>
      </c>
      <c r="C28" s="88" t="s">
        <v>511</v>
      </c>
      <c r="D28" s="90" t="s">
        <v>512</v>
      </c>
      <c r="E28" s="61"/>
      <c r="F28" s="61"/>
      <c r="G28" s="59" t="s">
        <v>513</v>
      </c>
      <c r="H28" s="57">
        <v>46151.0</v>
      </c>
      <c r="I28" s="88" t="s">
        <v>50</v>
      </c>
      <c r="J28" s="88" t="s">
        <v>514</v>
      </c>
      <c r="K28" s="58" t="s">
        <v>48</v>
      </c>
      <c r="L28" s="59" t="s">
        <v>515</v>
      </c>
    </row>
    <row r="31">
      <c r="A31" s="68" t="s">
        <v>516</v>
      </c>
    </row>
  </sheetData>
  <mergeCells count="17">
    <mergeCell ref="B1:D2"/>
    <mergeCell ref="B3:D3"/>
    <mergeCell ref="B4:D4"/>
    <mergeCell ref="B5:D5"/>
    <mergeCell ref="A9:A10"/>
    <mergeCell ref="B9:B10"/>
    <mergeCell ref="C9:C10"/>
    <mergeCell ref="J11:L11"/>
    <mergeCell ref="A12:L12"/>
    <mergeCell ref="A21:L21"/>
    <mergeCell ref="D9:F10"/>
    <mergeCell ref="G9:G10"/>
    <mergeCell ref="H9:H10"/>
    <mergeCell ref="I9:I10"/>
    <mergeCell ref="J9:J10"/>
    <mergeCell ref="K9:K10"/>
    <mergeCell ref="L9:L10"/>
  </mergeCells>
  <hyperlinks>
    <hyperlink r:id="rId1" ref="G13"/>
    <hyperlink r:id="rId2" ref="G14"/>
    <hyperlink r:id="rId3" ref="G15"/>
    <hyperlink r:id="rId4" ref="L15"/>
    <hyperlink r:id="rId5" ref="G16"/>
    <hyperlink r:id="rId6" ref="L16"/>
    <hyperlink r:id="rId7" ref="G17"/>
    <hyperlink r:id="rId8" ref="G18"/>
    <hyperlink r:id="rId9" ref="G19"/>
    <hyperlink r:id="rId10" ref="L19"/>
    <hyperlink r:id="rId11" ref="G20"/>
    <hyperlink r:id="rId12" ref="L20"/>
    <hyperlink r:id="rId13" ref="G22"/>
    <hyperlink r:id="rId14" ref="G23"/>
    <hyperlink r:id="rId15" ref="G24"/>
    <hyperlink r:id="rId16" ref="G25"/>
    <hyperlink r:id="rId17" ref="G26"/>
    <hyperlink r:id="rId18" ref="G27"/>
    <hyperlink r:id="rId19" ref="G28"/>
    <hyperlink r:id="rId20" ref="L28"/>
  </hyperlinks>
  <drawing r:id="rId2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5.25"/>
    <col customWidth="1" min="3" max="3" width="64.63"/>
    <col customWidth="1" min="4" max="4" width="30.13"/>
    <col customWidth="1" min="6" max="6" width="41.38"/>
    <col customWidth="1" min="7" max="7" width="20.38"/>
    <col customWidth="1" min="10" max="10" width="42.75"/>
    <col customWidth="1" min="11" max="11" width="16.63"/>
    <col customWidth="1" min="12" max="12" width="23.63"/>
  </cols>
  <sheetData>
    <row r="1">
      <c r="A1" s="28" t="s">
        <v>0</v>
      </c>
      <c r="B1" s="29"/>
      <c r="E1" s="30"/>
      <c r="F1" s="30"/>
      <c r="G1" s="30"/>
      <c r="H1" s="30"/>
      <c r="I1" s="6"/>
      <c r="J1" s="30"/>
    </row>
    <row r="2">
      <c r="A2" s="30"/>
      <c r="B2" s="31"/>
      <c r="C2" s="31"/>
      <c r="D2" s="31"/>
      <c r="E2" s="30"/>
      <c r="F2" s="30"/>
      <c r="G2" s="30"/>
      <c r="H2" s="30"/>
      <c r="I2" s="6"/>
      <c r="J2" s="30"/>
    </row>
    <row r="3">
      <c r="A3" s="37" t="s">
        <v>133</v>
      </c>
      <c r="B3" s="33" t="s">
        <v>4</v>
      </c>
      <c r="C3" s="11"/>
      <c r="D3" s="12"/>
      <c r="E3" s="34"/>
      <c r="F3" s="34"/>
      <c r="G3" s="34"/>
      <c r="H3" s="35"/>
      <c r="I3" s="36"/>
      <c r="J3" s="36"/>
    </row>
    <row r="4">
      <c r="A4" s="37" t="s">
        <v>44</v>
      </c>
      <c r="B4" s="38" t="s">
        <v>42</v>
      </c>
      <c r="C4" s="11"/>
      <c r="D4" s="12"/>
      <c r="E4" s="34"/>
      <c r="F4" s="34"/>
      <c r="G4" s="34"/>
      <c r="H4" s="35"/>
      <c r="I4" s="36"/>
      <c r="J4" s="36"/>
    </row>
    <row r="5">
      <c r="A5" s="37" t="s">
        <v>46</v>
      </c>
      <c r="B5" s="33" t="s">
        <v>517</v>
      </c>
      <c r="C5" s="11"/>
      <c r="D5" s="12"/>
      <c r="E5" s="34"/>
      <c r="F5" s="34"/>
      <c r="G5" s="34"/>
      <c r="H5" s="35"/>
      <c r="I5" s="36"/>
      <c r="J5" s="36"/>
    </row>
    <row r="6">
      <c r="A6" s="39" t="s">
        <v>48</v>
      </c>
      <c r="B6" s="39">
        <v>16.0</v>
      </c>
      <c r="C6" s="40" t="s">
        <v>49</v>
      </c>
      <c r="D6" s="40">
        <v>0.0</v>
      </c>
      <c r="E6" s="35"/>
      <c r="F6" s="35"/>
      <c r="G6" s="35"/>
      <c r="H6" s="35"/>
      <c r="I6" s="36"/>
      <c r="J6" s="36"/>
    </row>
    <row r="7">
      <c r="A7" s="39" t="s">
        <v>50</v>
      </c>
      <c r="B7" s="39">
        <v>1.0</v>
      </c>
      <c r="C7" s="41" t="s">
        <v>51</v>
      </c>
      <c r="D7" s="40">
        <v>17.0</v>
      </c>
      <c r="E7" s="35"/>
      <c r="F7" s="35"/>
      <c r="G7" s="35"/>
      <c r="H7" s="35"/>
      <c r="I7" s="36"/>
      <c r="J7" s="36"/>
    </row>
    <row r="8">
      <c r="A8" s="42"/>
      <c r="B8" s="43"/>
      <c r="C8" s="43"/>
      <c r="D8" s="43"/>
      <c r="E8" s="35"/>
      <c r="F8" s="35"/>
      <c r="G8" s="35"/>
      <c r="H8" s="35"/>
      <c r="I8" s="44"/>
      <c r="J8" s="44"/>
    </row>
    <row r="9">
      <c r="A9" s="45" t="s">
        <v>52</v>
      </c>
      <c r="B9" s="46" t="s">
        <v>53</v>
      </c>
      <c r="C9" s="45" t="s">
        <v>54</v>
      </c>
      <c r="D9" s="47" t="s">
        <v>55</v>
      </c>
      <c r="G9" s="45" t="s">
        <v>56</v>
      </c>
      <c r="H9" s="48" t="s">
        <v>57</v>
      </c>
      <c r="I9" s="48" t="s">
        <v>58</v>
      </c>
      <c r="J9" s="48" t="s">
        <v>59</v>
      </c>
      <c r="K9" s="48" t="s">
        <v>60</v>
      </c>
      <c r="L9" s="48" t="s">
        <v>61</v>
      </c>
    </row>
    <row r="10">
      <c r="A10" s="49"/>
      <c r="B10" s="49"/>
      <c r="C10" s="49"/>
      <c r="D10" s="50"/>
      <c r="E10" s="31"/>
      <c r="F10" s="31"/>
      <c r="G10" s="49"/>
      <c r="H10" s="49"/>
      <c r="I10" s="49"/>
      <c r="J10" s="49"/>
      <c r="K10" s="49"/>
      <c r="L10" s="49"/>
    </row>
    <row r="11">
      <c r="A11" s="51"/>
      <c r="B11" s="43"/>
      <c r="C11" s="43"/>
      <c r="D11" s="43"/>
      <c r="E11" s="43"/>
      <c r="F11" s="43"/>
      <c r="G11" s="43"/>
      <c r="H11" s="43"/>
      <c r="I11" s="43"/>
      <c r="J11" s="43"/>
      <c r="K11" s="11"/>
      <c r="L11" s="12"/>
    </row>
    <row r="12">
      <c r="A12" s="52" t="s">
        <v>194</v>
      </c>
      <c r="B12" s="11"/>
      <c r="C12" s="11"/>
      <c r="D12" s="11"/>
      <c r="E12" s="11"/>
      <c r="F12" s="11"/>
      <c r="G12" s="11"/>
      <c r="H12" s="11"/>
      <c r="I12" s="11"/>
      <c r="J12" s="11"/>
      <c r="K12" s="11"/>
      <c r="L12" s="12"/>
    </row>
    <row r="13">
      <c r="A13" s="58" t="s">
        <v>518</v>
      </c>
      <c r="B13" s="54" t="s">
        <v>519</v>
      </c>
      <c r="C13" s="58" t="s">
        <v>520</v>
      </c>
      <c r="D13" s="63" t="s">
        <v>521</v>
      </c>
      <c r="E13" s="61"/>
      <c r="F13" s="61"/>
      <c r="G13" s="64" t="s">
        <v>522</v>
      </c>
      <c r="H13" s="57">
        <v>46152.0</v>
      </c>
      <c r="I13" s="53" t="s">
        <v>48</v>
      </c>
      <c r="J13" s="53" t="s">
        <v>523</v>
      </c>
      <c r="K13" s="53"/>
      <c r="L13" s="53"/>
    </row>
    <row r="14">
      <c r="A14" s="58" t="s">
        <v>524</v>
      </c>
      <c r="B14" s="54" t="s">
        <v>525</v>
      </c>
      <c r="C14" s="58" t="s">
        <v>526</v>
      </c>
      <c r="D14" s="63" t="s">
        <v>527</v>
      </c>
      <c r="E14" s="61"/>
      <c r="F14" s="61"/>
      <c r="G14" s="64" t="s">
        <v>528</v>
      </c>
      <c r="H14" s="57">
        <v>46152.0</v>
      </c>
      <c r="I14" s="53" t="s">
        <v>48</v>
      </c>
      <c r="J14" s="53" t="s">
        <v>529</v>
      </c>
      <c r="K14" s="53"/>
      <c r="L14" s="53"/>
    </row>
    <row r="15">
      <c r="A15" s="58" t="s">
        <v>530</v>
      </c>
      <c r="B15" s="54" t="s">
        <v>531</v>
      </c>
      <c r="C15" s="54" t="s">
        <v>532</v>
      </c>
      <c r="D15" s="60" t="s">
        <v>533</v>
      </c>
      <c r="E15" s="61"/>
      <c r="F15" s="61"/>
      <c r="G15" s="64" t="s">
        <v>534</v>
      </c>
      <c r="H15" s="57">
        <v>46152.0</v>
      </c>
      <c r="I15" s="53" t="s">
        <v>48</v>
      </c>
      <c r="J15" s="53" t="s">
        <v>535</v>
      </c>
      <c r="K15" s="53"/>
      <c r="L15" s="53"/>
    </row>
    <row r="16">
      <c r="A16" s="52" t="s">
        <v>536</v>
      </c>
      <c r="B16" s="11"/>
      <c r="C16" s="11"/>
      <c r="D16" s="11"/>
      <c r="E16" s="11"/>
      <c r="F16" s="11"/>
      <c r="G16" s="11"/>
      <c r="H16" s="11"/>
      <c r="I16" s="11"/>
      <c r="J16" s="11"/>
      <c r="K16" s="11"/>
      <c r="L16" s="12"/>
    </row>
    <row r="17">
      <c r="A17" s="58" t="s">
        <v>537</v>
      </c>
      <c r="B17" s="54" t="s">
        <v>538</v>
      </c>
      <c r="C17" s="53" t="s">
        <v>539</v>
      </c>
      <c r="D17" s="60" t="s">
        <v>540</v>
      </c>
      <c r="E17" s="61"/>
      <c r="F17" s="61"/>
      <c r="G17" s="64" t="s">
        <v>541</v>
      </c>
      <c r="H17" s="57">
        <v>46136.0</v>
      </c>
      <c r="I17" s="53" t="s">
        <v>50</v>
      </c>
      <c r="J17" s="53" t="s">
        <v>542</v>
      </c>
      <c r="K17" s="53" t="s">
        <v>48</v>
      </c>
      <c r="L17" s="64" t="s">
        <v>448</v>
      </c>
    </row>
    <row r="18">
      <c r="A18" s="58" t="s">
        <v>543</v>
      </c>
      <c r="B18" s="54" t="s">
        <v>544</v>
      </c>
      <c r="C18" s="58" t="s">
        <v>545</v>
      </c>
      <c r="D18" s="60" t="s">
        <v>546</v>
      </c>
      <c r="E18" s="61"/>
      <c r="F18" s="61"/>
      <c r="G18" s="64" t="s">
        <v>547</v>
      </c>
      <c r="H18" s="57">
        <v>46152.0</v>
      </c>
      <c r="I18" s="53" t="s">
        <v>48</v>
      </c>
      <c r="J18" s="53" t="s">
        <v>548</v>
      </c>
      <c r="K18" s="53"/>
      <c r="L18" s="53"/>
    </row>
    <row r="19">
      <c r="A19" s="58" t="s">
        <v>549</v>
      </c>
      <c r="B19" s="54" t="s">
        <v>550</v>
      </c>
      <c r="C19" s="91" t="s">
        <v>551</v>
      </c>
      <c r="D19" s="60" t="s">
        <v>552</v>
      </c>
      <c r="E19" s="61"/>
      <c r="F19" s="61"/>
      <c r="G19" s="64" t="s">
        <v>553</v>
      </c>
      <c r="H19" s="57">
        <v>46152.0</v>
      </c>
      <c r="I19" s="53" t="s">
        <v>48</v>
      </c>
      <c r="J19" s="53" t="s">
        <v>554</v>
      </c>
      <c r="K19" s="53"/>
      <c r="L19" s="53"/>
    </row>
    <row r="20">
      <c r="A20" s="58" t="s">
        <v>555</v>
      </c>
      <c r="B20" s="54" t="s">
        <v>556</v>
      </c>
      <c r="C20" s="54" t="s">
        <v>557</v>
      </c>
      <c r="D20" s="60" t="s">
        <v>552</v>
      </c>
      <c r="E20" s="61"/>
      <c r="F20" s="61"/>
      <c r="G20" s="64" t="s">
        <v>558</v>
      </c>
      <c r="H20" s="57">
        <v>46152.0</v>
      </c>
      <c r="I20" s="53" t="s">
        <v>48</v>
      </c>
      <c r="J20" s="53" t="s">
        <v>559</v>
      </c>
      <c r="K20" s="53"/>
      <c r="L20" s="53"/>
    </row>
    <row r="21">
      <c r="A21" s="58" t="s">
        <v>560</v>
      </c>
      <c r="B21" s="54" t="s">
        <v>561</v>
      </c>
      <c r="C21" s="54" t="s">
        <v>562</v>
      </c>
      <c r="D21" s="60" t="s">
        <v>552</v>
      </c>
      <c r="E21" s="61"/>
      <c r="F21" s="61"/>
      <c r="G21" s="64" t="s">
        <v>563</v>
      </c>
      <c r="H21" s="57">
        <v>46152.0</v>
      </c>
      <c r="I21" s="53" t="s">
        <v>48</v>
      </c>
      <c r="J21" s="53" t="s">
        <v>564</v>
      </c>
      <c r="K21" s="53"/>
      <c r="L21" s="53"/>
    </row>
    <row r="22">
      <c r="A22" s="58" t="s">
        <v>565</v>
      </c>
      <c r="B22" s="54" t="s">
        <v>566</v>
      </c>
      <c r="C22" s="54" t="s">
        <v>567</v>
      </c>
      <c r="D22" s="60" t="s">
        <v>568</v>
      </c>
      <c r="E22" s="61"/>
      <c r="F22" s="61"/>
      <c r="G22" s="64" t="s">
        <v>569</v>
      </c>
      <c r="H22" s="57">
        <v>46152.0</v>
      </c>
      <c r="I22" s="53" t="s">
        <v>48</v>
      </c>
      <c r="J22" s="53" t="s">
        <v>570</v>
      </c>
      <c r="K22" s="53"/>
      <c r="L22" s="53"/>
    </row>
    <row r="23">
      <c r="A23" s="52" t="s">
        <v>571</v>
      </c>
      <c r="B23" s="11"/>
      <c r="C23" s="11"/>
      <c r="D23" s="11"/>
      <c r="E23" s="11"/>
      <c r="F23" s="11"/>
      <c r="G23" s="11"/>
      <c r="H23" s="11"/>
      <c r="I23" s="11"/>
      <c r="J23" s="11"/>
      <c r="K23" s="11"/>
      <c r="L23" s="12"/>
    </row>
    <row r="24">
      <c r="A24" s="58" t="s">
        <v>572</v>
      </c>
      <c r="B24" s="58" t="s">
        <v>573</v>
      </c>
      <c r="C24" s="54" t="s">
        <v>574</v>
      </c>
      <c r="D24" s="60" t="s">
        <v>575</v>
      </c>
      <c r="E24" s="61"/>
      <c r="F24" s="61"/>
      <c r="G24" s="64" t="s">
        <v>576</v>
      </c>
      <c r="H24" s="57">
        <v>46152.0</v>
      </c>
      <c r="I24" s="53" t="s">
        <v>48</v>
      </c>
      <c r="J24" s="53" t="s">
        <v>577</v>
      </c>
      <c r="K24" s="53"/>
      <c r="L24" s="53"/>
    </row>
    <row r="25">
      <c r="A25" s="58" t="s">
        <v>578</v>
      </c>
      <c r="B25" s="58" t="s">
        <v>579</v>
      </c>
      <c r="C25" s="58" t="s">
        <v>580</v>
      </c>
      <c r="D25" s="63" t="s">
        <v>581</v>
      </c>
      <c r="E25" s="61"/>
      <c r="F25" s="61"/>
      <c r="G25" s="64" t="s">
        <v>582</v>
      </c>
      <c r="H25" s="57">
        <v>46152.0</v>
      </c>
      <c r="I25" s="53" t="s">
        <v>48</v>
      </c>
      <c r="J25" s="53" t="s">
        <v>583</v>
      </c>
      <c r="K25" s="53"/>
      <c r="L25" s="53"/>
    </row>
    <row r="26">
      <c r="A26" s="52" t="s">
        <v>584</v>
      </c>
      <c r="B26" s="11"/>
      <c r="C26" s="11"/>
      <c r="D26" s="11"/>
      <c r="E26" s="11"/>
      <c r="F26" s="11"/>
      <c r="G26" s="11"/>
      <c r="H26" s="11"/>
      <c r="I26" s="11"/>
      <c r="J26" s="11"/>
      <c r="K26" s="11"/>
      <c r="L26" s="12"/>
    </row>
    <row r="27">
      <c r="A27" s="58" t="s">
        <v>585</v>
      </c>
      <c r="B27" s="58" t="s">
        <v>586</v>
      </c>
      <c r="C27" s="53" t="s">
        <v>587</v>
      </c>
      <c r="D27" s="63" t="s">
        <v>588</v>
      </c>
      <c r="E27" s="61"/>
      <c r="F27" s="93"/>
      <c r="G27" s="94" t="s">
        <v>589</v>
      </c>
      <c r="H27" s="57">
        <v>46152.0</v>
      </c>
      <c r="I27" s="53" t="s">
        <v>48</v>
      </c>
      <c r="J27" s="53" t="s">
        <v>590</v>
      </c>
      <c r="K27" s="53"/>
      <c r="L27" s="53"/>
    </row>
    <row r="28">
      <c r="A28" s="58" t="s">
        <v>591</v>
      </c>
      <c r="B28" s="58" t="s">
        <v>592</v>
      </c>
      <c r="C28" s="58" t="s">
        <v>593</v>
      </c>
      <c r="D28" s="63" t="s">
        <v>594</v>
      </c>
      <c r="E28" s="61"/>
      <c r="F28" s="61"/>
      <c r="G28" s="64" t="s">
        <v>595</v>
      </c>
      <c r="H28" s="57">
        <v>46152.0</v>
      </c>
      <c r="I28" s="53" t="s">
        <v>48</v>
      </c>
      <c r="J28" s="53" t="s">
        <v>596</v>
      </c>
      <c r="K28" s="53"/>
      <c r="L28" s="53"/>
    </row>
    <row r="29">
      <c r="A29" s="58" t="s">
        <v>597</v>
      </c>
      <c r="B29" s="58" t="s">
        <v>598</v>
      </c>
      <c r="C29" s="58" t="s">
        <v>599</v>
      </c>
      <c r="D29" s="63" t="s">
        <v>600</v>
      </c>
      <c r="E29" s="61"/>
      <c r="F29" s="61"/>
      <c r="G29" s="64" t="s">
        <v>601</v>
      </c>
      <c r="H29" s="57">
        <v>46152.0</v>
      </c>
      <c r="I29" s="53" t="s">
        <v>48</v>
      </c>
      <c r="J29" s="53" t="s">
        <v>602</v>
      </c>
      <c r="K29" s="53"/>
      <c r="L29" s="53"/>
    </row>
    <row r="30">
      <c r="A30" s="58" t="s">
        <v>603</v>
      </c>
      <c r="B30" s="58" t="s">
        <v>604</v>
      </c>
      <c r="C30" s="58" t="s">
        <v>605</v>
      </c>
      <c r="D30" s="63" t="s">
        <v>600</v>
      </c>
      <c r="E30" s="61"/>
      <c r="F30" s="61"/>
      <c r="G30" s="64" t="s">
        <v>606</v>
      </c>
      <c r="H30" s="57">
        <v>46152.0</v>
      </c>
      <c r="I30" s="53" t="s">
        <v>48</v>
      </c>
      <c r="J30" s="53" t="s">
        <v>607</v>
      </c>
      <c r="K30" s="53"/>
      <c r="L30" s="53"/>
    </row>
    <row r="31">
      <c r="A31" s="58" t="s">
        <v>608</v>
      </c>
      <c r="B31" s="58" t="s">
        <v>609</v>
      </c>
      <c r="C31" s="58" t="s">
        <v>610</v>
      </c>
      <c r="D31" s="63" t="s">
        <v>611</v>
      </c>
      <c r="E31" s="61"/>
      <c r="F31" s="61"/>
      <c r="G31" s="64" t="s">
        <v>612</v>
      </c>
      <c r="H31" s="57">
        <v>46152.0</v>
      </c>
      <c r="I31" s="53" t="s">
        <v>48</v>
      </c>
      <c r="J31" s="53" t="s">
        <v>613</v>
      </c>
      <c r="K31" s="53"/>
      <c r="L31" s="53"/>
    </row>
    <row r="32">
      <c r="A32" s="58" t="s">
        <v>614</v>
      </c>
      <c r="B32" s="58" t="s">
        <v>615</v>
      </c>
      <c r="C32" s="58" t="s">
        <v>616</v>
      </c>
      <c r="D32" s="63" t="s">
        <v>617</v>
      </c>
      <c r="E32" s="61"/>
      <c r="F32" s="61"/>
      <c r="G32" s="64" t="s">
        <v>618</v>
      </c>
      <c r="H32" s="57">
        <v>46152.0</v>
      </c>
      <c r="I32" s="53" t="s">
        <v>48</v>
      </c>
      <c r="J32" s="53" t="s">
        <v>619</v>
      </c>
      <c r="K32" s="53"/>
      <c r="L32" s="53"/>
    </row>
  </sheetData>
  <mergeCells count="19">
    <mergeCell ref="B1:D2"/>
    <mergeCell ref="B3:D3"/>
    <mergeCell ref="B4:D4"/>
    <mergeCell ref="B5:D5"/>
    <mergeCell ref="A9:A10"/>
    <mergeCell ref="B9:B10"/>
    <mergeCell ref="C9:C10"/>
    <mergeCell ref="J11:L11"/>
    <mergeCell ref="A12:L12"/>
    <mergeCell ref="A16:L16"/>
    <mergeCell ref="A23:L23"/>
    <mergeCell ref="A26:L26"/>
    <mergeCell ref="D9:F10"/>
    <mergeCell ref="G9:G10"/>
    <mergeCell ref="H9:H10"/>
    <mergeCell ref="I9:I10"/>
    <mergeCell ref="J9:J10"/>
    <mergeCell ref="K9:K10"/>
    <mergeCell ref="L9:L10"/>
  </mergeCells>
  <hyperlinks>
    <hyperlink r:id="rId1" ref="G13"/>
    <hyperlink r:id="rId2" ref="G14"/>
    <hyperlink r:id="rId3" ref="G15"/>
    <hyperlink r:id="rId4" ref="G17"/>
    <hyperlink r:id="rId5" ref="L17"/>
    <hyperlink r:id="rId6" ref="G18"/>
    <hyperlink r:id="rId7" ref="G19"/>
    <hyperlink r:id="rId8" ref="G20"/>
    <hyperlink r:id="rId9" ref="G21"/>
    <hyperlink r:id="rId10" ref="G22"/>
    <hyperlink r:id="rId11" ref="G24"/>
    <hyperlink r:id="rId12" ref="G25"/>
    <hyperlink r:id="rId13" ref="G27"/>
    <hyperlink r:id="rId14" ref="G28"/>
    <hyperlink r:id="rId15" ref="G29"/>
    <hyperlink r:id="rId16" ref="G30"/>
    <hyperlink r:id="rId17" ref="G31"/>
    <hyperlink r:id="rId18" ref="G32"/>
  </hyperlinks>
  <drawing r:id="rId1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3" max="3" width="22.63"/>
    <col customWidth="1" min="7" max="7" width="19.13"/>
  </cols>
  <sheetData>
    <row r="1">
      <c r="A1" s="95" t="s">
        <v>620</v>
      </c>
      <c r="B1" s="96"/>
      <c r="C1" s="13"/>
      <c r="D1" s="13"/>
      <c r="E1" s="13"/>
      <c r="F1" s="13"/>
      <c r="G1" s="13"/>
    </row>
    <row r="2">
      <c r="A2" s="97"/>
      <c r="B2" s="96"/>
      <c r="C2" s="13"/>
      <c r="D2" s="13"/>
      <c r="E2" s="13"/>
      <c r="F2" s="13"/>
      <c r="G2" s="13"/>
    </row>
    <row r="3">
      <c r="A3" s="98"/>
      <c r="B3" s="99" t="s">
        <v>621</v>
      </c>
      <c r="C3" s="99" t="s">
        <v>622</v>
      </c>
      <c r="D3" s="13"/>
      <c r="E3" s="13"/>
      <c r="F3" s="13"/>
      <c r="G3" s="13"/>
    </row>
    <row r="4">
      <c r="A4" s="98"/>
      <c r="B4" s="99" t="s">
        <v>623</v>
      </c>
      <c r="C4" s="100">
        <v>46162.0</v>
      </c>
      <c r="D4" s="13"/>
      <c r="E4" s="13"/>
      <c r="F4" s="13"/>
      <c r="G4" s="13"/>
    </row>
    <row r="5">
      <c r="A5" s="13"/>
      <c r="B5" s="13"/>
      <c r="C5" s="13"/>
      <c r="D5" s="13"/>
      <c r="E5" s="13"/>
      <c r="F5" s="13"/>
      <c r="G5" s="13"/>
    </row>
    <row r="6">
      <c r="A6" s="13"/>
      <c r="B6" s="13"/>
      <c r="C6" s="13"/>
      <c r="D6" s="13"/>
      <c r="E6" s="13"/>
      <c r="F6" s="13"/>
      <c r="G6" s="13"/>
    </row>
    <row r="7">
      <c r="A7" s="13"/>
      <c r="B7" s="101" t="s">
        <v>624</v>
      </c>
      <c r="C7" s="102" t="s">
        <v>625</v>
      </c>
      <c r="D7" s="103" t="s">
        <v>48</v>
      </c>
      <c r="E7" s="102" t="s">
        <v>50</v>
      </c>
      <c r="F7" s="102" t="s">
        <v>49</v>
      </c>
      <c r="G7" s="104" t="s">
        <v>626</v>
      </c>
    </row>
    <row r="8">
      <c r="A8" s="105"/>
      <c r="B8" s="106">
        <v>1.0</v>
      </c>
      <c r="C8" s="107" t="s">
        <v>627</v>
      </c>
      <c r="D8" s="108">
        <v>8.0</v>
      </c>
      <c r="E8" s="107">
        <v>3.0</v>
      </c>
      <c r="F8" s="107">
        <v>0.0</v>
      </c>
      <c r="G8" s="108">
        <v>11.0</v>
      </c>
    </row>
    <row r="9">
      <c r="A9" s="105"/>
      <c r="B9" s="106">
        <v>2.0</v>
      </c>
      <c r="C9" s="107" t="s">
        <v>628</v>
      </c>
      <c r="D9" s="107">
        <v>8.0</v>
      </c>
      <c r="E9" s="107">
        <v>1.0</v>
      </c>
      <c r="F9" s="107">
        <v>0.0</v>
      </c>
      <c r="G9" s="108">
        <v>9.0</v>
      </c>
    </row>
    <row r="10">
      <c r="A10" s="13"/>
      <c r="B10" s="106">
        <v>3.0</v>
      </c>
      <c r="C10" s="107" t="s">
        <v>629</v>
      </c>
      <c r="D10" s="109">
        <v>5.0</v>
      </c>
      <c r="E10" s="110">
        <v>1.0</v>
      </c>
      <c r="F10" s="110">
        <v>0.0</v>
      </c>
      <c r="G10" s="111">
        <v>6.0</v>
      </c>
    </row>
    <row r="11">
      <c r="A11" s="13"/>
      <c r="B11" s="106">
        <v>4.0</v>
      </c>
      <c r="C11" s="107" t="s">
        <v>630</v>
      </c>
      <c r="D11" s="109">
        <v>4.0</v>
      </c>
      <c r="E11" s="110">
        <v>8.0</v>
      </c>
      <c r="F11" s="110">
        <v>0.0</v>
      </c>
      <c r="G11" s="111">
        <v>12.0</v>
      </c>
    </row>
    <row r="12">
      <c r="A12" s="13"/>
      <c r="B12" s="106">
        <v>5.0</v>
      </c>
      <c r="C12" s="107" t="s">
        <v>631</v>
      </c>
      <c r="D12" s="109">
        <v>7.0</v>
      </c>
      <c r="E12" s="110">
        <v>0.0</v>
      </c>
      <c r="F12" s="110">
        <v>0.0</v>
      </c>
      <c r="G12" s="111">
        <v>7.0</v>
      </c>
    </row>
    <row r="13">
      <c r="A13" s="13"/>
      <c r="B13" s="106">
        <v>6.0</v>
      </c>
      <c r="C13" s="107" t="s">
        <v>26</v>
      </c>
      <c r="D13" s="109">
        <v>9.0</v>
      </c>
      <c r="E13" s="110">
        <v>0.0</v>
      </c>
      <c r="F13" s="110">
        <v>0.0</v>
      </c>
      <c r="G13" s="111">
        <v>9.0</v>
      </c>
    </row>
    <row r="14">
      <c r="A14" s="13"/>
      <c r="B14" s="106">
        <v>7.0</v>
      </c>
      <c r="C14" s="107" t="s">
        <v>632</v>
      </c>
      <c r="D14" s="109">
        <v>10.0</v>
      </c>
      <c r="E14" s="110">
        <v>5.0</v>
      </c>
      <c r="F14" s="110">
        <v>0.0</v>
      </c>
      <c r="G14" s="111">
        <v>15.0</v>
      </c>
    </row>
    <row r="15">
      <c r="A15" s="13"/>
      <c r="B15" s="106">
        <v>8.0</v>
      </c>
      <c r="C15" s="107" t="s">
        <v>633</v>
      </c>
      <c r="D15" s="109">
        <v>16.0</v>
      </c>
      <c r="E15" s="110">
        <v>1.0</v>
      </c>
      <c r="F15" s="110">
        <v>0.0</v>
      </c>
      <c r="G15" s="111">
        <v>17.0</v>
      </c>
    </row>
    <row r="16">
      <c r="A16" s="13"/>
      <c r="B16" s="112"/>
      <c r="C16" s="113" t="s">
        <v>634</v>
      </c>
      <c r="D16" s="114">
        <f>D8+D9+D10+D11+D12+D13+D14+D15</f>
        <v>67</v>
      </c>
      <c r="E16" s="114">
        <f>SUM(E8:E15)</f>
        <v>19</v>
      </c>
      <c r="F16" s="114">
        <v>0.0</v>
      </c>
      <c r="G16" s="115">
        <f>SUM(G8:G15)</f>
        <v>86</v>
      </c>
    </row>
    <row r="17">
      <c r="A17" s="13"/>
      <c r="B17" s="116"/>
      <c r="C17" s="13"/>
      <c r="D17" s="116"/>
      <c r="E17" s="116"/>
      <c r="F17" s="116"/>
      <c r="G17" s="116"/>
    </row>
    <row r="18">
      <c r="A18" s="13"/>
      <c r="B18" s="13"/>
      <c r="C18" s="99" t="s">
        <v>635</v>
      </c>
      <c r="D18" s="13"/>
      <c r="E18" s="117">
        <f>((D16+E16)/G16)*100</f>
        <v>100</v>
      </c>
      <c r="F18" s="99" t="s">
        <v>636</v>
      </c>
      <c r="G18" s="118"/>
    </row>
    <row r="19">
      <c r="A19" s="13"/>
      <c r="B19" s="13"/>
      <c r="C19" s="99" t="s">
        <v>637</v>
      </c>
      <c r="D19" s="13"/>
      <c r="E19" s="117">
        <f>(D16/G16)*100</f>
        <v>77.90697674</v>
      </c>
      <c r="F19" s="99" t="s">
        <v>636</v>
      </c>
      <c r="G19" s="118"/>
    </row>
  </sheetData>
  <drawing r:id="rId1"/>
</worksheet>
</file>